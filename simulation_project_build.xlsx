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MYPROJECTS\Simulation\"/>
    </mc:Choice>
  </mc:AlternateContent>
  <xr:revisionPtr revIDLastSave="0" documentId="8_{3297AED8-1EBC-48DF-8C75-0B32A8B1A6D3}" xr6:coauthVersionLast="47" xr6:coauthVersionMax="47" xr10:uidLastSave="{00000000-0000-0000-0000-000000000000}"/>
  <bookViews>
    <workbookView xWindow="-96" yWindow="-96" windowWidth="23232" windowHeight="12432" xr2:uid="{AAD6DF41-D6FC-492B-AAC7-0099E8B00364}"/>
  </bookViews>
  <sheets>
    <sheet name="Sheet B &amp; D" sheetId="5" r:id="rId1"/>
    <sheet name="Sheet A &amp; C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" i="6" l="1"/>
  <c r="A18" i="6" s="1"/>
  <c r="A19" i="6" s="1"/>
  <c r="U9" i="6"/>
  <c r="U10" i="6" s="1"/>
  <c r="U11" i="6" s="1"/>
  <c r="U12" i="6" s="1"/>
  <c r="U13" i="6" s="1"/>
  <c r="U14" i="6" s="1"/>
  <c r="U15" i="6" s="1"/>
  <c r="U16" i="6" s="1"/>
  <c r="E8" i="6"/>
  <c r="E7" i="6"/>
  <c r="S6" i="6"/>
  <c r="I6" i="6"/>
  <c r="E6" i="6"/>
  <c r="S5" i="6"/>
  <c r="I5" i="6"/>
  <c r="E5" i="6"/>
  <c r="I4" i="6"/>
  <c r="E4" i="6"/>
  <c r="A18" i="5"/>
  <c r="A17" i="5"/>
  <c r="U9" i="5"/>
  <c r="U10" i="5" s="1"/>
  <c r="U11" i="5" s="1"/>
  <c r="U12" i="5" s="1"/>
  <c r="U13" i="5" s="1"/>
  <c r="U14" i="5" s="1"/>
  <c r="U15" i="5" s="1"/>
  <c r="U16" i="5" s="1"/>
  <c r="E8" i="5"/>
  <c r="E7" i="5"/>
  <c r="S6" i="5"/>
  <c r="I13" i="5" s="1"/>
  <c r="I6" i="5"/>
  <c r="E6" i="5"/>
  <c r="S5" i="5"/>
  <c r="I5" i="5"/>
  <c r="E5" i="5"/>
  <c r="I4" i="5"/>
  <c r="E4" i="5"/>
  <c r="D22" i="5" l="1"/>
  <c r="D65" i="5"/>
  <c r="D39" i="6"/>
  <c r="I17" i="5"/>
  <c r="J17" i="5" s="1"/>
  <c r="I14" i="5"/>
  <c r="J14" i="5" s="1"/>
  <c r="I19" i="6"/>
  <c r="A20" i="6"/>
  <c r="D20" i="6"/>
  <c r="D60" i="6"/>
  <c r="D57" i="6"/>
  <c r="D62" i="6"/>
  <c r="D59" i="6"/>
  <c r="D56" i="6"/>
  <c r="D40" i="6"/>
  <c r="D37" i="6"/>
  <c r="D34" i="6"/>
  <c r="D31" i="6"/>
  <c r="D28" i="6"/>
  <c r="D25" i="6"/>
  <c r="D22" i="6"/>
  <c r="D26" i="6"/>
  <c r="D35" i="6"/>
  <c r="D44" i="6"/>
  <c r="D53" i="6"/>
  <c r="D17" i="6"/>
  <c r="D24" i="6"/>
  <c r="D13" i="6"/>
  <c r="D33" i="6"/>
  <c r="D42" i="6"/>
  <c r="D51" i="6"/>
  <c r="D19" i="6"/>
  <c r="I15" i="6"/>
  <c r="I16" i="6"/>
  <c r="I13" i="6"/>
  <c r="I14" i="6"/>
  <c r="D21" i="6"/>
  <c r="D29" i="6"/>
  <c r="D38" i="6"/>
  <c r="D47" i="6"/>
  <c r="D23" i="6"/>
  <c r="D27" i="6"/>
  <c r="D36" i="6"/>
  <c r="D45" i="6"/>
  <c r="D54" i="6"/>
  <c r="D18" i="6"/>
  <c r="D32" i="6"/>
  <c r="D41" i="6"/>
  <c r="D50" i="6"/>
  <c r="D30" i="6"/>
  <c r="D48" i="6"/>
  <c r="D15" i="6"/>
  <c r="D43" i="6"/>
  <c r="D46" i="6"/>
  <c r="D49" i="6"/>
  <c r="D52" i="6"/>
  <c r="D55" i="6"/>
  <c r="D58" i="6"/>
  <c r="D61" i="6"/>
  <c r="D16" i="6"/>
  <c r="D14" i="6"/>
  <c r="K13" i="5"/>
  <c r="Q13" i="5"/>
  <c r="P13" i="5"/>
  <c r="J13" i="5"/>
  <c r="D14" i="5"/>
  <c r="D46" i="5"/>
  <c r="D52" i="5"/>
  <c r="D55" i="5"/>
  <c r="D58" i="5"/>
  <c r="D61" i="5"/>
  <c r="D18" i="5"/>
  <c r="D45" i="5"/>
  <c r="D63" i="5"/>
  <c r="D21" i="5"/>
  <c r="I16" i="5"/>
  <c r="D44" i="5"/>
  <c r="D51" i="5"/>
  <c r="D54" i="5"/>
  <c r="D57" i="5"/>
  <c r="D60" i="5"/>
  <c r="D72" i="5"/>
  <c r="D69" i="5"/>
  <c r="D71" i="5"/>
  <c r="D68" i="5"/>
  <c r="D16" i="5"/>
  <c r="D70" i="5"/>
  <c r="D17" i="5"/>
  <c r="D15" i="5"/>
  <c r="A19" i="5"/>
  <c r="D43" i="5"/>
  <c r="D67" i="5"/>
  <c r="D20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50" i="5"/>
  <c r="D23" i="5"/>
  <c r="D13" i="5"/>
  <c r="D62" i="5"/>
  <c r="D19" i="5"/>
  <c r="I15" i="5"/>
  <c r="D49" i="5"/>
  <c r="D53" i="5"/>
  <c r="D56" i="5"/>
  <c r="D59" i="5"/>
  <c r="D48" i="5"/>
  <c r="D64" i="5"/>
  <c r="D66" i="5"/>
  <c r="D47" i="5"/>
  <c r="Q14" i="5" l="1"/>
  <c r="K14" i="5"/>
  <c r="N15" i="5" s="1"/>
  <c r="P14" i="5"/>
  <c r="K17" i="5"/>
  <c r="P17" i="5"/>
  <c r="Q17" i="5"/>
  <c r="F13" i="6"/>
  <c r="H13" i="6" s="1"/>
  <c r="E13" i="6"/>
  <c r="I20" i="6"/>
  <c r="A21" i="6"/>
  <c r="K19" i="6"/>
  <c r="J19" i="6"/>
  <c r="Q19" i="6"/>
  <c r="P19" i="6"/>
  <c r="Q14" i="6"/>
  <c r="P14" i="6"/>
  <c r="K14" i="6"/>
  <c r="J14" i="6"/>
  <c r="P13" i="6"/>
  <c r="K13" i="6"/>
  <c r="Q13" i="6"/>
  <c r="J13" i="6"/>
  <c r="J16" i="6"/>
  <c r="Q16" i="6"/>
  <c r="P16" i="6"/>
  <c r="K16" i="6"/>
  <c r="P15" i="6"/>
  <c r="Q15" i="6"/>
  <c r="K15" i="6"/>
  <c r="J15" i="6"/>
  <c r="Q16" i="5"/>
  <c r="P16" i="5"/>
  <c r="K16" i="5"/>
  <c r="J16" i="5"/>
  <c r="K15" i="5"/>
  <c r="J15" i="5"/>
  <c r="Q15" i="5"/>
  <c r="P15" i="5"/>
  <c r="E13" i="5"/>
  <c r="F13" i="5"/>
  <c r="H13" i="5" s="1"/>
  <c r="I19" i="5"/>
  <c r="A20" i="5"/>
  <c r="N14" i="5"/>
  <c r="N13" i="5"/>
  <c r="N16" i="5" l="1"/>
  <c r="N18" i="5"/>
  <c r="G13" i="6"/>
  <c r="R13" i="6" s="1"/>
  <c r="N13" i="6"/>
  <c r="M13" i="6" s="1"/>
  <c r="N15" i="6"/>
  <c r="N14" i="6"/>
  <c r="N17" i="6"/>
  <c r="N16" i="6"/>
  <c r="I21" i="6"/>
  <c r="A22" i="6"/>
  <c r="P20" i="6"/>
  <c r="Q20" i="6"/>
  <c r="J20" i="6"/>
  <c r="K20" i="6"/>
  <c r="I20" i="5"/>
  <c r="A21" i="5"/>
  <c r="G13" i="5"/>
  <c r="R13" i="5" s="1"/>
  <c r="M13" i="5"/>
  <c r="P19" i="5"/>
  <c r="K19" i="5"/>
  <c r="J19" i="5"/>
  <c r="Q19" i="5"/>
  <c r="N17" i="5"/>
  <c r="B14" i="6" l="1"/>
  <c r="O13" i="6"/>
  <c r="A23" i="6"/>
  <c r="P21" i="6"/>
  <c r="K21" i="6"/>
  <c r="J21" i="6"/>
  <c r="Q21" i="6"/>
  <c r="B14" i="5"/>
  <c r="O13" i="5"/>
  <c r="I21" i="5"/>
  <c r="A22" i="5"/>
  <c r="K20" i="5"/>
  <c r="J20" i="5"/>
  <c r="Q20" i="5"/>
  <c r="P20" i="5"/>
  <c r="E14" i="6" l="1"/>
  <c r="F14" i="6"/>
  <c r="H14" i="6" s="1"/>
  <c r="I23" i="6"/>
  <c r="A24" i="6"/>
  <c r="I22" i="5"/>
  <c r="A23" i="5"/>
  <c r="K21" i="5"/>
  <c r="J21" i="5"/>
  <c r="Q21" i="5"/>
  <c r="P21" i="5"/>
  <c r="E14" i="5"/>
  <c r="F14" i="5"/>
  <c r="H14" i="5" s="1"/>
  <c r="M14" i="6" l="1"/>
  <c r="G14" i="6"/>
  <c r="R14" i="6" s="1"/>
  <c r="A25" i="6"/>
  <c r="P23" i="6"/>
  <c r="Q23" i="6"/>
  <c r="J23" i="6"/>
  <c r="K23" i="6"/>
  <c r="I23" i="5"/>
  <c r="A24" i="5"/>
  <c r="G14" i="5"/>
  <c r="R14" i="5" s="1"/>
  <c r="M14" i="5"/>
  <c r="P22" i="5"/>
  <c r="K22" i="5"/>
  <c r="J22" i="5"/>
  <c r="Q22" i="5"/>
  <c r="I25" i="6" l="1"/>
  <c r="A26" i="6"/>
  <c r="O14" i="6"/>
  <c r="B15" i="6"/>
  <c r="A25" i="5"/>
  <c r="K23" i="5"/>
  <c r="J23" i="5"/>
  <c r="Q23" i="5"/>
  <c r="P23" i="5"/>
  <c r="O14" i="5"/>
  <c r="B15" i="5"/>
  <c r="K25" i="6" l="1"/>
  <c r="J25" i="6"/>
  <c r="Q25" i="6"/>
  <c r="P25" i="6"/>
  <c r="I26" i="6"/>
  <c r="A27" i="6"/>
  <c r="E15" i="6"/>
  <c r="F15" i="6"/>
  <c r="H15" i="6" s="1"/>
  <c r="E15" i="5"/>
  <c r="F15" i="5"/>
  <c r="H15" i="5" s="1"/>
  <c r="I25" i="5"/>
  <c r="A26" i="5"/>
  <c r="A28" i="6" l="1"/>
  <c r="G15" i="6"/>
  <c r="R15" i="6" s="1"/>
  <c r="M15" i="6"/>
  <c r="P26" i="6"/>
  <c r="Q26" i="6"/>
  <c r="K26" i="6"/>
  <c r="J26" i="6"/>
  <c r="I26" i="5"/>
  <c r="A27" i="5"/>
  <c r="M15" i="5"/>
  <c r="G15" i="5"/>
  <c r="R15" i="5" s="1"/>
  <c r="P25" i="5"/>
  <c r="K25" i="5"/>
  <c r="J25" i="5"/>
  <c r="Q25" i="5"/>
  <c r="O15" i="6" l="1"/>
  <c r="B16" i="6"/>
  <c r="I28" i="6"/>
  <c r="A29" i="6"/>
  <c r="B16" i="5"/>
  <c r="O15" i="5"/>
  <c r="K26" i="5"/>
  <c r="J26" i="5"/>
  <c r="Q26" i="5"/>
  <c r="P26" i="5"/>
  <c r="I27" i="5"/>
  <c r="A28" i="5"/>
  <c r="K28" i="6" l="1"/>
  <c r="J28" i="6"/>
  <c r="Q28" i="6"/>
  <c r="P28" i="6"/>
  <c r="E16" i="6"/>
  <c r="F16" i="6"/>
  <c r="H16" i="6" s="1"/>
  <c r="I29" i="6"/>
  <c r="A30" i="6"/>
  <c r="K27" i="5"/>
  <c r="J27" i="5"/>
  <c r="Q27" i="5"/>
  <c r="P27" i="5"/>
  <c r="E16" i="5"/>
  <c r="F16" i="5"/>
  <c r="H16" i="5" s="1"/>
  <c r="I28" i="5"/>
  <c r="A29" i="5"/>
  <c r="P29" i="6" l="1"/>
  <c r="K29" i="6"/>
  <c r="J29" i="6"/>
  <c r="Q29" i="6"/>
  <c r="A31" i="6"/>
  <c r="M16" i="6"/>
  <c r="G16" i="6"/>
  <c r="R16" i="6" s="1"/>
  <c r="G16" i="5"/>
  <c r="R16" i="5" s="1"/>
  <c r="M16" i="5"/>
  <c r="I29" i="5"/>
  <c r="A30" i="5"/>
  <c r="P28" i="5"/>
  <c r="K28" i="5"/>
  <c r="J28" i="5"/>
  <c r="Q28" i="5"/>
  <c r="I31" i="6" l="1"/>
  <c r="A32" i="6"/>
  <c r="B17" i="6"/>
  <c r="O16" i="6"/>
  <c r="A31" i="5"/>
  <c r="K29" i="5"/>
  <c r="J29" i="5"/>
  <c r="Q29" i="5"/>
  <c r="P29" i="5"/>
  <c r="O16" i="5"/>
  <c r="B17" i="5"/>
  <c r="K31" i="6" l="1"/>
  <c r="J31" i="6"/>
  <c r="Q31" i="6"/>
  <c r="P31" i="6"/>
  <c r="A33" i="6"/>
  <c r="E17" i="6"/>
  <c r="F17" i="6"/>
  <c r="H17" i="6" s="1"/>
  <c r="E17" i="5"/>
  <c r="F17" i="5"/>
  <c r="H17" i="5" s="1"/>
  <c r="I31" i="5"/>
  <c r="A32" i="5"/>
  <c r="M17" i="6" l="1"/>
  <c r="G17" i="6"/>
  <c r="I33" i="6"/>
  <c r="A34" i="6"/>
  <c r="I32" i="5"/>
  <c r="A33" i="5"/>
  <c r="P31" i="5"/>
  <c r="K31" i="5"/>
  <c r="J31" i="5"/>
  <c r="Q31" i="5"/>
  <c r="M17" i="5"/>
  <c r="G17" i="5"/>
  <c r="R17" i="5" s="1"/>
  <c r="I34" i="6" l="1"/>
  <c r="A35" i="6"/>
  <c r="P33" i="6"/>
  <c r="K33" i="6"/>
  <c r="J33" i="6"/>
  <c r="Q33" i="6"/>
  <c r="O17" i="6"/>
  <c r="I17" i="6" s="1"/>
  <c r="B18" i="6"/>
  <c r="I33" i="5"/>
  <c r="A34" i="5"/>
  <c r="K32" i="5"/>
  <c r="J32" i="5"/>
  <c r="Q32" i="5"/>
  <c r="P32" i="5"/>
  <c r="O17" i="5"/>
  <c r="B18" i="5"/>
  <c r="J17" i="6" l="1"/>
  <c r="K17" i="6" s="1"/>
  <c r="N18" i="6" s="1"/>
  <c r="Q17" i="6"/>
  <c r="P17" i="6"/>
  <c r="R17" i="6" s="1"/>
  <c r="I35" i="6"/>
  <c r="A36" i="6"/>
  <c r="E18" i="6"/>
  <c r="F18" i="6"/>
  <c r="H18" i="6" s="1"/>
  <c r="K34" i="6"/>
  <c r="J34" i="6"/>
  <c r="Q34" i="6"/>
  <c r="P34" i="6"/>
  <c r="I34" i="5"/>
  <c r="A35" i="5"/>
  <c r="K33" i="5"/>
  <c r="J33" i="5"/>
  <c r="Q33" i="5"/>
  <c r="P33" i="5"/>
  <c r="E18" i="5"/>
  <c r="F18" i="5"/>
  <c r="H18" i="5" s="1"/>
  <c r="W7" i="6" l="1"/>
  <c r="V7" i="6"/>
  <c r="G18" i="6"/>
  <c r="M18" i="6"/>
  <c r="A37" i="6"/>
  <c r="P35" i="6"/>
  <c r="Q35" i="6"/>
  <c r="K35" i="6"/>
  <c r="J35" i="6"/>
  <c r="I35" i="5"/>
  <c r="A36" i="5"/>
  <c r="G18" i="5"/>
  <c r="M18" i="5"/>
  <c r="P34" i="5"/>
  <c r="K34" i="5"/>
  <c r="J34" i="5"/>
  <c r="Q34" i="5"/>
  <c r="A38" i="6" l="1"/>
  <c r="O18" i="6"/>
  <c r="I18" i="6" s="1"/>
  <c r="B19" i="6"/>
  <c r="B19" i="5"/>
  <c r="O18" i="5"/>
  <c r="I18" i="5" s="1"/>
  <c r="A37" i="5"/>
  <c r="K35" i="5"/>
  <c r="J35" i="5"/>
  <c r="Q35" i="5"/>
  <c r="P35" i="5"/>
  <c r="E19" i="6" l="1"/>
  <c r="F19" i="6"/>
  <c r="H19" i="6" s="1"/>
  <c r="P18" i="6"/>
  <c r="J18" i="6"/>
  <c r="K18" i="6" s="1"/>
  <c r="Q18" i="6"/>
  <c r="I38" i="6"/>
  <c r="A39" i="6"/>
  <c r="I37" i="5"/>
  <c r="A38" i="5"/>
  <c r="J18" i="5"/>
  <c r="K18" i="5" s="1"/>
  <c r="Q18" i="5"/>
  <c r="P18" i="5"/>
  <c r="E19" i="5"/>
  <c r="F19" i="5"/>
  <c r="H19" i="5" s="1"/>
  <c r="R18" i="6" l="1"/>
  <c r="R18" i="5"/>
  <c r="N19" i="6"/>
  <c r="M19" i="6" s="1"/>
  <c r="N21" i="6"/>
  <c r="N20" i="6"/>
  <c r="N22" i="6"/>
  <c r="P38" i="6"/>
  <c r="Q38" i="6"/>
  <c r="K38" i="6"/>
  <c r="J38" i="6"/>
  <c r="I39" i="6"/>
  <c r="A40" i="6"/>
  <c r="G19" i="6"/>
  <c r="R19" i="6" s="1"/>
  <c r="N19" i="5"/>
  <c r="M19" i="5" s="1"/>
  <c r="N20" i="5"/>
  <c r="N21" i="5"/>
  <c r="N22" i="5"/>
  <c r="N23" i="5"/>
  <c r="N24" i="5"/>
  <c r="I38" i="5"/>
  <c r="A39" i="5"/>
  <c r="G19" i="5"/>
  <c r="R19" i="5" s="1"/>
  <c r="P37" i="5"/>
  <c r="K37" i="5"/>
  <c r="J37" i="5"/>
  <c r="Q37" i="5"/>
  <c r="V7" i="5" l="1"/>
  <c r="W7" i="5"/>
  <c r="B20" i="6"/>
  <c r="O19" i="6"/>
  <c r="I40" i="6"/>
  <c r="A41" i="6"/>
  <c r="P39" i="6"/>
  <c r="K39" i="6"/>
  <c r="J39" i="6"/>
  <c r="Q39" i="6"/>
  <c r="I39" i="5"/>
  <c r="A40" i="5"/>
  <c r="K38" i="5"/>
  <c r="J38" i="5"/>
  <c r="Q38" i="5"/>
  <c r="P38" i="5"/>
  <c r="B20" i="5"/>
  <c r="O19" i="5"/>
  <c r="K40" i="6" l="1"/>
  <c r="J40" i="6"/>
  <c r="Q40" i="6"/>
  <c r="P40" i="6"/>
  <c r="I41" i="6"/>
  <c r="A42" i="6"/>
  <c r="E20" i="6"/>
  <c r="F20" i="6"/>
  <c r="H20" i="6" s="1"/>
  <c r="E20" i="5"/>
  <c r="F20" i="5"/>
  <c r="H20" i="5" s="1"/>
  <c r="I40" i="5"/>
  <c r="A41" i="5"/>
  <c r="K39" i="5"/>
  <c r="J39" i="5"/>
  <c r="Q39" i="5"/>
  <c r="P39" i="5"/>
  <c r="P41" i="6" l="1"/>
  <c r="J41" i="6"/>
  <c r="Q41" i="6"/>
  <c r="K41" i="6"/>
  <c r="G20" i="6"/>
  <c r="R20" i="6" s="1"/>
  <c r="M20" i="6"/>
  <c r="A43" i="6"/>
  <c r="I41" i="5"/>
  <c r="A42" i="5"/>
  <c r="P40" i="5"/>
  <c r="K40" i="5"/>
  <c r="J40" i="5"/>
  <c r="Q40" i="5"/>
  <c r="G20" i="5"/>
  <c r="R20" i="5" s="1"/>
  <c r="M20" i="5"/>
  <c r="I43" i="6" l="1"/>
  <c r="A44" i="6"/>
  <c r="B21" i="6"/>
  <c r="O20" i="6"/>
  <c r="B21" i="5"/>
  <c r="O20" i="5"/>
  <c r="A43" i="5"/>
  <c r="K41" i="5"/>
  <c r="J41" i="5"/>
  <c r="Q41" i="5"/>
  <c r="P41" i="5"/>
  <c r="E21" i="6" l="1"/>
  <c r="F21" i="6"/>
  <c r="H21" i="6" s="1"/>
  <c r="I44" i="6"/>
  <c r="A45" i="6"/>
  <c r="K43" i="6"/>
  <c r="J43" i="6"/>
  <c r="Q43" i="6"/>
  <c r="P43" i="6"/>
  <c r="I43" i="5"/>
  <c r="A44" i="5"/>
  <c r="E21" i="5"/>
  <c r="F21" i="5"/>
  <c r="H21" i="5" s="1"/>
  <c r="I45" i="6" l="1"/>
  <c r="A46" i="6"/>
  <c r="P44" i="6"/>
  <c r="Q44" i="6"/>
  <c r="K44" i="6"/>
  <c r="J44" i="6"/>
  <c r="M21" i="6"/>
  <c r="G21" i="6"/>
  <c r="R21" i="6" s="1"/>
  <c r="G21" i="5"/>
  <c r="R21" i="5" s="1"/>
  <c r="M21" i="5"/>
  <c r="I44" i="5"/>
  <c r="A45" i="5"/>
  <c r="P43" i="5"/>
  <c r="K43" i="5"/>
  <c r="J43" i="5"/>
  <c r="Q43" i="5"/>
  <c r="I46" i="6" l="1"/>
  <c r="A47" i="6"/>
  <c r="O21" i="6"/>
  <c r="B22" i="6"/>
  <c r="P45" i="6"/>
  <c r="K45" i="6"/>
  <c r="J45" i="6"/>
  <c r="Q45" i="6"/>
  <c r="I45" i="5"/>
  <c r="A46" i="5"/>
  <c r="B22" i="5"/>
  <c r="O21" i="5"/>
  <c r="K44" i="5"/>
  <c r="Q44" i="5"/>
  <c r="P44" i="5"/>
  <c r="J44" i="5"/>
  <c r="E22" i="6" l="1"/>
  <c r="F22" i="6"/>
  <c r="H22" i="6" s="1"/>
  <c r="A48" i="6"/>
  <c r="K46" i="6"/>
  <c r="J46" i="6"/>
  <c r="Q46" i="6"/>
  <c r="P46" i="6"/>
  <c r="I46" i="5"/>
  <c r="A47" i="5"/>
  <c r="J45" i="5"/>
  <c r="Q45" i="5"/>
  <c r="P45" i="5"/>
  <c r="K45" i="5"/>
  <c r="E22" i="5"/>
  <c r="F22" i="5"/>
  <c r="H22" i="5" s="1"/>
  <c r="A49" i="6" l="1"/>
  <c r="G22" i="6"/>
  <c r="M22" i="6"/>
  <c r="G22" i="5"/>
  <c r="R22" i="5" s="1"/>
  <c r="M22" i="5"/>
  <c r="A48" i="5"/>
  <c r="I47" i="5"/>
  <c r="P46" i="5"/>
  <c r="Q46" i="5"/>
  <c r="K46" i="5"/>
  <c r="J46" i="5"/>
  <c r="I49" i="6" l="1"/>
  <c r="A50" i="6"/>
  <c r="B23" i="6"/>
  <c r="O22" i="6"/>
  <c r="I22" i="6" s="1"/>
  <c r="K47" i="5"/>
  <c r="Q47" i="5"/>
  <c r="P47" i="5"/>
  <c r="J47" i="5"/>
  <c r="A49" i="5"/>
  <c r="B23" i="5"/>
  <c r="O22" i="5"/>
  <c r="J22" i="6" l="1"/>
  <c r="K22" i="6" s="1"/>
  <c r="P22" i="6"/>
  <c r="Q22" i="6"/>
  <c r="E23" i="6"/>
  <c r="F23" i="6"/>
  <c r="H23" i="6" s="1"/>
  <c r="I50" i="6"/>
  <c r="A51" i="6"/>
  <c r="K49" i="6"/>
  <c r="J49" i="6"/>
  <c r="Q49" i="6"/>
  <c r="P49" i="6"/>
  <c r="I49" i="5"/>
  <c r="A50" i="5"/>
  <c r="E23" i="5"/>
  <c r="F23" i="5"/>
  <c r="H23" i="5" s="1"/>
  <c r="R22" i="6" l="1"/>
  <c r="W8" i="6" s="1"/>
  <c r="V8" i="6"/>
  <c r="N23" i="6"/>
  <c r="M23" i="6" s="1"/>
  <c r="N24" i="6"/>
  <c r="I51" i="6"/>
  <c r="A52" i="6"/>
  <c r="P50" i="6"/>
  <c r="J50" i="6"/>
  <c r="Q50" i="6"/>
  <c r="K50" i="6"/>
  <c r="G23" i="6"/>
  <c r="R23" i="6" s="1"/>
  <c r="G23" i="5"/>
  <c r="R23" i="5" s="1"/>
  <c r="M23" i="5"/>
  <c r="I50" i="5"/>
  <c r="A51" i="5"/>
  <c r="K49" i="5"/>
  <c r="P49" i="5"/>
  <c r="Q49" i="5"/>
  <c r="J49" i="5"/>
  <c r="A53" i="6" l="1"/>
  <c r="B24" i="6"/>
  <c r="O23" i="6"/>
  <c r="P51" i="6"/>
  <c r="K51" i="6"/>
  <c r="J51" i="6"/>
  <c r="Q51" i="6"/>
  <c r="I51" i="5"/>
  <c r="A52" i="5"/>
  <c r="K50" i="5"/>
  <c r="J50" i="5"/>
  <c r="Q50" i="5"/>
  <c r="P50" i="5"/>
  <c r="B24" i="5"/>
  <c r="O23" i="5"/>
  <c r="I53" i="6" l="1"/>
  <c r="A54" i="6"/>
  <c r="E24" i="6"/>
  <c r="F24" i="6"/>
  <c r="H24" i="6" s="1"/>
  <c r="E24" i="5"/>
  <c r="F24" i="5"/>
  <c r="H24" i="5" s="1"/>
  <c r="I52" i="5"/>
  <c r="A53" i="5"/>
  <c r="P51" i="5"/>
  <c r="J51" i="5"/>
  <c r="Q51" i="5"/>
  <c r="K51" i="5"/>
  <c r="A55" i="6" l="1"/>
  <c r="M24" i="6"/>
  <c r="G24" i="6"/>
  <c r="P53" i="6"/>
  <c r="Q53" i="6"/>
  <c r="K53" i="6"/>
  <c r="J53" i="6"/>
  <c r="A54" i="5"/>
  <c r="I53" i="5"/>
  <c r="K52" i="5"/>
  <c r="J52" i="5"/>
  <c r="P52" i="5"/>
  <c r="Q52" i="5"/>
  <c r="G24" i="5"/>
  <c r="M24" i="5"/>
  <c r="O24" i="6" l="1"/>
  <c r="I24" i="6" s="1"/>
  <c r="B25" i="6"/>
  <c r="I55" i="6"/>
  <c r="A56" i="6"/>
  <c r="B25" i="5"/>
  <c r="O24" i="5"/>
  <c r="I24" i="5" s="1"/>
  <c r="K53" i="5"/>
  <c r="Q53" i="5"/>
  <c r="P53" i="5"/>
  <c r="J53" i="5"/>
  <c r="A55" i="5"/>
  <c r="K55" i="6" l="1"/>
  <c r="J55" i="6"/>
  <c r="Q55" i="6"/>
  <c r="P55" i="6"/>
  <c r="I56" i="6"/>
  <c r="A57" i="6"/>
  <c r="P24" i="6"/>
  <c r="J24" i="6"/>
  <c r="K24" i="6" s="1"/>
  <c r="Q24" i="6"/>
  <c r="E25" i="6"/>
  <c r="F25" i="6"/>
  <c r="H25" i="6" s="1"/>
  <c r="I55" i="5"/>
  <c r="A56" i="5"/>
  <c r="J24" i="5"/>
  <c r="K24" i="5" s="1"/>
  <c r="Q24" i="5"/>
  <c r="P24" i="5"/>
  <c r="R24" i="5" s="1"/>
  <c r="E25" i="5"/>
  <c r="F25" i="5"/>
  <c r="H25" i="5" s="1"/>
  <c r="V8" i="5" l="1"/>
  <c r="W8" i="5"/>
  <c r="N25" i="6"/>
  <c r="M25" i="6" s="1"/>
  <c r="N26" i="6"/>
  <c r="N27" i="6"/>
  <c r="G25" i="6"/>
  <c r="R25" i="6" s="1"/>
  <c r="Q56" i="6"/>
  <c r="P56" i="6"/>
  <c r="K56" i="6"/>
  <c r="J56" i="6"/>
  <c r="R24" i="6"/>
  <c r="A58" i="6"/>
  <c r="N30" i="5"/>
  <c r="N27" i="5"/>
  <c r="N29" i="5"/>
  <c r="N28" i="5"/>
  <c r="N25" i="5"/>
  <c r="M25" i="5" s="1"/>
  <c r="N26" i="5"/>
  <c r="G25" i="5"/>
  <c r="R25" i="5" s="1"/>
  <c r="A57" i="5"/>
  <c r="I56" i="5"/>
  <c r="K55" i="5"/>
  <c r="J55" i="5"/>
  <c r="P55" i="5"/>
  <c r="Q55" i="5"/>
  <c r="B26" i="6" l="1"/>
  <c r="O25" i="6"/>
  <c r="I58" i="6"/>
  <c r="A59" i="6"/>
  <c r="B26" i="5"/>
  <c r="O25" i="5"/>
  <c r="I57" i="5"/>
  <c r="A58" i="5"/>
  <c r="K56" i="5"/>
  <c r="Q56" i="5"/>
  <c r="P56" i="5"/>
  <c r="J56" i="5"/>
  <c r="K58" i="6" l="1"/>
  <c r="J58" i="6"/>
  <c r="Q58" i="6"/>
  <c r="P58" i="6"/>
  <c r="I59" i="6"/>
  <c r="A60" i="6"/>
  <c r="E26" i="6"/>
  <c r="F26" i="6"/>
  <c r="H26" i="6" s="1"/>
  <c r="P57" i="5"/>
  <c r="J57" i="5"/>
  <c r="Q57" i="5"/>
  <c r="K57" i="5"/>
  <c r="I58" i="5"/>
  <c r="A59" i="5"/>
  <c r="E26" i="5"/>
  <c r="F26" i="5"/>
  <c r="H26" i="5" s="1"/>
  <c r="A61" i="6" l="1"/>
  <c r="G26" i="6"/>
  <c r="R26" i="6" s="1"/>
  <c r="M26" i="6"/>
  <c r="Q59" i="6"/>
  <c r="P59" i="6"/>
  <c r="K59" i="6"/>
  <c r="J59" i="6"/>
  <c r="G26" i="5"/>
  <c r="R26" i="5" s="1"/>
  <c r="M26" i="5"/>
  <c r="A60" i="5"/>
  <c r="I59" i="5"/>
  <c r="K58" i="5"/>
  <c r="J58" i="5"/>
  <c r="P58" i="5"/>
  <c r="Q58" i="5"/>
  <c r="B27" i="6" l="1"/>
  <c r="O26" i="6"/>
  <c r="I61" i="6"/>
  <c r="A62" i="6"/>
  <c r="K59" i="5"/>
  <c r="Q59" i="5"/>
  <c r="P59" i="5"/>
  <c r="J59" i="5"/>
  <c r="A61" i="5"/>
  <c r="B27" i="5"/>
  <c r="O26" i="5"/>
  <c r="K61" i="6" l="1"/>
  <c r="J61" i="6"/>
  <c r="Q61" i="6"/>
  <c r="P61" i="6"/>
  <c r="E27" i="6"/>
  <c r="F27" i="6"/>
  <c r="H27" i="6" s="1"/>
  <c r="E27" i="5"/>
  <c r="F27" i="5"/>
  <c r="H27" i="5" s="1"/>
  <c r="I61" i="5"/>
  <c r="A62" i="5"/>
  <c r="G27" i="6" l="1"/>
  <c r="M27" i="6"/>
  <c r="K61" i="5"/>
  <c r="J61" i="5"/>
  <c r="P61" i="5"/>
  <c r="Q61" i="5"/>
  <c r="A63" i="5"/>
  <c r="I62" i="5"/>
  <c r="G27" i="5"/>
  <c r="R27" i="5" s="1"/>
  <c r="M27" i="5"/>
  <c r="O27" i="6" l="1"/>
  <c r="I27" i="6" s="1"/>
  <c r="B28" i="6"/>
  <c r="P62" i="5"/>
  <c r="K62" i="5"/>
  <c r="J62" i="5"/>
  <c r="Q62" i="5"/>
  <c r="B28" i="5"/>
  <c r="O27" i="5"/>
  <c r="I63" i="5"/>
  <c r="A64" i="5"/>
  <c r="Q27" i="6" l="1"/>
  <c r="P27" i="6"/>
  <c r="J27" i="6"/>
  <c r="K27" i="6" s="1"/>
  <c r="E28" i="6"/>
  <c r="F28" i="6"/>
  <c r="H28" i="6" s="1"/>
  <c r="P63" i="5"/>
  <c r="K63" i="5"/>
  <c r="J63" i="5"/>
  <c r="Q63" i="5"/>
  <c r="I64" i="5"/>
  <c r="A65" i="5"/>
  <c r="E28" i="5"/>
  <c r="F28" i="5"/>
  <c r="H28" i="5" s="1"/>
  <c r="R27" i="6" l="1"/>
  <c r="V9" i="6" s="1"/>
  <c r="W9" i="6"/>
  <c r="N30" i="6"/>
  <c r="N28" i="6"/>
  <c r="M28" i="6" s="1"/>
  <c r="N29" i="6"/>
  <c r="G28" i="6"/>
  <c r="R28" i="6" s="1"/>
  <c r="G28" i="5"/>
  <c r="R28" i="5" s="1"/>
  <c r="M28" i="5"/>
  <c r="A66" i="5"/>
  <c r="I65" i="5"/>
  <c r="K64" i="5"/>
  <c r="J64" i="5"/>
  <c r="P64" i="5"/>
  <c r="Q64" i="5"/>
  <c r="B29" i="6" l="1"/>
  <c r="O28" i="6"/>
  <c r="B29" i="5"/>
  <c r="O28" i="5"/>
  <c r="P65" i="5"/>
  <c r="K65" i="5"/>
  <c r="Q65" i="5"/>
  <c r="J65" i="5"/>
  <c r="A67" i="5"/>
  <c r="E29" i="6" l="1"/>
  <c r="F29" i="6"/>
  <c r="H29" i="6" s="1"/>
  <c r="I67" i="5"/>
  <c r="A68" i="5"/>
  <c r="E29" i="5"/>
  <c r="F29" i="5"/>
  <c r="H29" i="5" s="1"/>
  <c r="G29" i="6" l="1"/>
  <c r="R29" i="6" s="1"/>
  <c r="M29" i="6"/>
  <c r="I68" i="5"/>
  <c r="A69" i="5"/>
  <c r="G29" i="5"/>
  <c r="R29" i="5" s="1"/>
  <c r="M29" i="5"/>
  <c r="K67" i="5"/>
  <c r="J67" i="5"/>
  <c r="P67" i="5"/>
  <c r="Q67" i="5"/>
  <c r="B30" i="6" l="1"/>
  <c r="O29" i="6"/>
  <c r="B30" i="5"/>
  <c r="O29" i="5"/>
  <c r="I69" i="5"/>
  <c r="A70" i="5"/>
  <c r="Q68" i="5"/>
  <c r="P68" i="5"/>
  <c r="K68" i="5"/>
  <c r="J68" i="5"/>
  <c r="E30" i="6" l="1"/>
  <c r="F30" i="6"/>
  <c r="H30" i="6" s="1"/>
  <c r="I70" i="5"/>
  <c r="A71" i="5"/>
  <c r="Q69" i="5"/>
  <c r="P69" i="5"/>
  <c r="K69" i="5"/>
  <c r="J69" i="5"/>
  <c r="E30" i="5"/>
  <c r="F30" i="5"/>
  <c r="H30" i="5" s="1"/>
  <c r="M30" i="6" l="1"/>
  <c r="G30" i="6"/>
  <c r="G30" i="5"/>
  <c r="M30" i="5"/>
  <c r="I71" i="5"/>
  <c r="A72" i="5"/>
  <c r="K70" i="5"/>
  <c r="J70" i="5"/>
  <c r="Q70" i="5"/>
  <c r="P70" i="5"/>
  <c r="O30" i="6" l="1"/>
  <c r="I30" i="6" s="1"/>
  <c r="B31" i="6"/>
  <c r="B31" i="5"/>
  <c r="O30" i="5"/>
  <c r="I30" i="5" s="1"/>
  <c r="Q71" i="5"/>
  <c r="P71" i="5"/>
  <c r="K71" i="5"/>
  <c r="J71" i="5"/>
  <c r="E31" i="6" l="1"/>
  <c r="F31" i="6"/>
  <c r="H31" i="6" s="1"/>
  <c r="P30" i="6"/>
  <c r="J30" i="6"/>
  <c r="K30" i="6" s="1"/>
  <c r="Q30" i="6"/>
  <c r="J30" i="5"/>
  <c r="K30" i="5" s="1"/>
  <c r="Q30" i="5"/>
  <c r="P30" i="5"/>
  <c r="R30" i="5" s="1"/>
  <c r="E31" i="5"/>
  <c r="F31" i="5"/>
  <c r="H31" i="5" s="1"/>
  <c r="V9" i="5" l="1"/>
  <c r="W9" i="5"/>
  <c r="N31" i="6"/>
  <c r="M31" i="6" s="1"/>
  <c r="N32" i="6"/>
  <c r="R30" i="6"/>
  <c r="G31" i="6"/>
  <c r="R31" i="6" s="1"/>
  <c r="N31" i="5"/>
  <c r="M31" i="5" s="1"/>
  <c r="N32" i="5"/>
  <c r="N33" i="5"/>
  <c r="N35" i="5"/>
  <c r="N34" i="5"/>
  <c r="N36" i="5"/>
  <c r="G31" i="5"/>
  <c r="R31" i="5" s="1"/>
  <c r="B32" i="6" l="1"/>
  <c r="O31" i="6"/>
  <c r="B32" i="5"/>
  <c r="O31" i="5"/>
  <c r="E32" i="6" l="1"/>
  <c r="F32" i="6"/>
  <c r="H32" i="6" s="1"/>
  <c r="E32" i="5"/>
  <c r="F32" i="5"/>
  <c r="H32" i="5" s="1"/>
  <c r="G32" i="6" l="1"/>
  <c r="M32" i="6"/>
  <c r="G32" i="5"/>
  <c r="R32" i="5" s="1"/>
  <c r="M32" i="5"/>
  <c r="B33" i="6" l="1"/>
  <c r="O32" i="6"/>
  <c r="I32" i="6" s="1"/>
  <c r="B33" i="5"/>
  <c r="O32" i="5"/>
  <c r="P32" i="6" l="1"/>
  <c r="J32" i="6"/>
  <c r="K32" i="6" s="1"/>
  <c r="Q32" i="6"/>
  <c r="E33" i="6"/>
  <c r="F33" i="6"/>
  <c r="H33" i="6" s="1"/>
  <c r="E33" i="5"/>
  <c r="F33" i="5"/>
  <c r="H33" i="5" s="1"/>
  <c r="N36" i="6" l="1"/>
  <c r="N35" i="6"/>
  <c r="N33" i="6"/>
  <c r="M33" i="6" s="1"/>
  <c r="N34" i="6"/>
  <c r="R32" i="6"/>
  <c r="G33" i="6"/>
  <c r="R33" i="6" s="1"/>
  <c r="G33" i="5"/>
  <c r="R33" i="5" s="1"/>
  <c r="M33" i="5"/>
  <c r="V10" i="6" l="1"/>
  <c r="W10" i="6"/>
  <c r="O33" i="6"/>
  <c r="B34" i="6"/>
  <c r="B34" i="5"/>
  <c r="O33" i="5"/>
  <c r="E34" i="6" l="1"/>
  <c r="F34" i="6"/>
  <c r="H34" i="6" s="1"/>
  <c r="E34" i="5"/>
  <c r="F34" i="5"/>
  <c r="H34" i="5" s="1"/>
  <c r="G34" i="6" l="1"/>
  <c r="R34" i="6" s="1"/>
  <c r="M34" i="6"/>
  <c r="G34" i="5"/>
  <c r="R34" i="5" s="1"/>
  <c r="M34" i="5"/>
  <c r="B35" i="6" l="1"/>
  <c r="O34" i="6"/>
  <c r="B35" i="5"/>
  <c r="O34" i="5"/>
  <c r="E35" i="6" l="1"/>
  <c r="F35" i="6"/>
  <c r="H35" i="6" s="1"/>
  <c r="E35" i="5"/>
  <c r="F35" i="5"/>
  <c r="H35" i="5" s="1"/>
  <c r="G35" i="6" l="1"/>
  <c r="R35" i="6" s="1"/>
  <c r="M35" i="6"/>
  <c r="G35" i="5"/>
  <c r="R35" i="5" s="1"/>
  <c r="M35" i="5"/>
  <c r="B36" i="6" l="1"/>
  <c r="O35" i="6"/>
  <c r="B36" i="5"/>
  <c r="O35" i="5"/>
  <c r="E36" i="6" l="1"/>
  <c r="F36" i="6"/>
  <c r="H36" i="6" s="1"/>
  <c r="E36" i="5"/>
  <c r="F36" i="5"/>
  <c r="H36" i="5" s="1"/>
  <c r="M36" i="6" l="1"/>
  <c r="G36" i="6"/>
  <c r="G36" i="5"/>
  <c r="M36" i="5"/>
  <c r="O36" i="6" l="1"/>
  <c r="I36" i="6" s="1"/>
  <c r="B37" i="6"/>
  <c r="B37" i="5"/>
  <c r="O36" i="5"/>
  <c r="I36" i="5" s="1"/>
  <c r="E37" i="6" l="1"/>
  <c r="F37" i="6"/>
  <c r="H37" i="6" s="1"/>
  <c r="P36" i="6"/>
  <c r="J36" i="6"/>
  <c r="K36" i="6" s="1"/>
  <c r="Q36" i="6"/>
  <c r="J36" i="5"/>
  <c r="K36" i="5" s="1"/>
  <c r="Q36" i="5"/>
  <c r="P36" i="5"/>
  <c r="R36" i="5" s="1"/>
  <c r="E37" i="5"/>
  <c r="F37" i="5"/>
  <c r="H37" i="5" s="1"/>
  <c r="V10" i="5" l="1"/>
  <c r="W10" i="5"/>
  <c r="N37" i="6"/>
  <c r="M37" i="6" s="1"/>
  <c r="R36" i="6"/>
  <c r="G37" i="6"/>
  <c r="N38" i="5"/>
  <c r="N42" i="5"/>
  <c r="N40" i="5"/>
  <c r="N37" i="5"/>
  <c r="M37" i="5" s="1"/>
  <c r="N41" i="5"/>
  <c r="N39" i="5"/>
  <c r="G37" i="5"/>
  <c r="R37" i="5" s="1"/>
  <c r="B38" i="6" l="1"/>
  <c r="O37" i="6"/>
  <c r="I37" i="6" s="1"/>
  <c r="B38" i="5"/>
  <c r="O37" i="5"/>
  <c r="P37" i="6" l="1"/>
  <c r="J37" i="6"/>
  <c r="K37" i="6" s="1"/>
  <c r="Q37" i="6"/>
  <c r="E38" i="6"/>
  <c r="F38" i="6"/>
  <c r="H38" i="6" s="1"/>
  <c r="E38" i="5"/>
  <c r="F38" i="5"/>
  <c r="H38" i="5" s="1"/>
  <c r="N39" i="6" l="1"/>
  <c r="N42" i="6"/>
  <c r="N41" i="6"/>
  <c r="N38" i="6"/>
  <c r="M38" i="6" s="1"/>
  <c r="N40" i="6"/>
  <c r="R37" i="6"/>
  <c r="G38" i="6"/>
  <c r="R38" i="6" s="1"/>
  <c r="G38" i="5"/>
  <c r="R38" i="5" s="1"/>
  <c r="M38" i="5"/>
  <c r="V11" i="6" l="1"/>
  <c r="W11" i="6"/>
  <c r="B39" i="6"/>
  <c r="O38" i="6"/>
  <c r="B39" i="5"/>
  <c r="O38" i="5"/>
  <c r="E39" i="6" l="1"/>
  <c r="F39" i="6"/>
  <c r="H39" i="6" s="1"/>
  <c r="E39" i="5"/>
  <c r="F39" i="5"/>
  <c r="H39" i="5" s="1"/>
  <c r="M39" i="6" l="1"/>
  <c r="G39" i="6"/>
  <c r="R39" i="6" s="1"/>
  <c r="G39" i="5"/>
  <c r="R39" i="5" s="1"/>
  <c r="M39" i="5"/>
  <c r="O39" i="6" l="1"/>
  <c r="B40" i="6"/>
  <c r="B40" i="5"/>
  <c r="O39" i="5"/>
  <c r="E40" i="6" l="1"/>
  <c r="F40" i="6"/>
  <c r="H40" i="6" s="1"/>
  <c r="E40" i="5"/>
  <c r="F40" i="5"/>
  <c r="H40" i="5" s="1"/>
  <c r="G40" i="6" l="1"/>
  <c r="R40" i="6" s="1"/>
  <c r="M40" i="6"/>
  <c r="G40" i="5"/>
  <c r="R40" i="5" s="1"/>
  <c r="M40" i="5"/>
  <c r="B41" i="6" l="1"/>
  <c r="O40" i="6"/>
  <c r="B41" i="5"/>
  <c r="O40" i="5"/>
  <c r="E41" i="6" l="1"/>
  <c r="F41" i="6"/>
  <c r="H41" i="6" s="1"/>
  <c r="E41" i="5"/>
  <c r="F41" i="5"/>
  <c r="H41" i="5" s="1"/>
  <c r="G41" i="6" l="1"/>
  <c r="R41" i="6" s="1"/>
  <c r="M41" i="6"/>
  <c r="G41" i="5"/>
  <c r="R41" i="5" s="1"/>
  <c r="M41" i="5"/>
  <c r="B42" i="6" l="1"/>
  <c r="O41" i="6"/>
  <c r="B42" i="5"/>
  <c r="O41" i="5"/>
  <c r="E42" i="6" l="1"/>
  <c r="F42" i="6"/>
  <c r="H42" i="6" s="1"/>
  <c r="E42" i="5"/>
  <c r="F42" i="5"/>
  <c r="H42" i="5" s="1"/>
  <c r="M42" i="6" l="1"/>
  <c r="G42" i="6"/>
  <c r="G42" i="5"/>
  <c r="M42" i="5"/>
  <c r="O42" i="6" l="1"/>
  <c r="I42" i="6" s="1"/>
  <c r="B43" i="6"/>
  <c r="B43" i="5"/>
  <c r="O42" i="5"/>
  <c r="I42" i="5" s="1"/>
  <c r="E43" i="6" l="1"/>
  <c r="F43" i="6"/>
  <c r="H43" i="6" s="1"/>
  <c r="P42" i="6"/>
  <c r="J42" i="6"/>
  <c r="K42" i="6" s="1"/>
  <c r="Q42" i="6"/>
  <c r="J42" i="5"/>
  <c r="K42" i="5" s="1"/>
  <c r="Q42" i="5"/>
  <c r="P42" i="5"/>
  <c r="R42" i="5" s="1"/>
  <c r="E43" i="5"/>
  <c r="F43" i="5"/>
  <c r="H43" i="5" s="1"/>
  <c r="V11" i="5" l="1"/>
  <c r="W11" i="5"/>
  <c r="N46" i="6"/>
  <c r="N44" i="6"/>
  <c r="N47" i="6"/>
  <c r="N43" i="6"/>
  <c r="M43" i="6" s="1"/>
  <c r="N45" i="6"/>
  <c r="R42" i="6"/>
  <c r="W12" i="6" s="1"/>
  <c r="G43" i="6"/>
  <c r="R43" i="6" s="1"/>
  <c r="N46" i="5"/>
  <c r="N44" i="5"/>
  <c r="N45" i="5"/>
  <c r="N47" i="5"/>
  <c r="N43" i="5"/>
  <c r="M43" i="5" s="1"/>
  <c r="N48" i="5"/>
  <c r="G43" i="5"/>
  <c r="R43" i="5" s="1"/>
  <c r="V12" i="6" l="1"/>
  <c r="B44" i="6"/>
  <c r="O43" i="6"/>
  <c r="B44" i="5"/>
  <c r="O43" i="5"/>
  <c r="E44" i="6" l="1"/>
  <c r="F44" i="6"/>
  <c r="H44" i="6" s="1"/>
  <c r="E44" i="5"/>
  <c r="F44" i="5"/>
  <c r="H44" i="5" s="1"/>
  <c r="G44" i="6" l="1"/>
  <c r="R44" i="6" s="1"/>
  <c r="M44" i="6"/>
  <c r="M44" i="5"/>
  <c r="G44" i="5"/>
  <c r="R44" i="5" s="1"/>
  <c r="B45" i="6" l="1"/>
  <c r="O44" i="6"/>
  <c r="O44" i="5"/>
  <c r="B45" i="5"/>
  <c r="E45" i="6" l="1"/>
  <c r="F45" i="6"/>
  <c r="H45" i="6" s="1"/>
  <c r="E45" i="5"/>
  <c r="F45" i="5"/>
  <c r="H45" i="5" s="1"/>
  <c r="M45" i="6" l="1"/>
  <c r="G45" i="6"/>
  <c r="R45" i="6" s="1"/>
  <c r="G45" i="5"/>
  <c r="R45" i="5" s="1"/>
  <c r="M45" i="5"/>
  <c r="O45" i="6" l="1"/>
  <c r="B46" i="6"/>
  <c r="B46" i="5"/>
  <c r="O45" i="5"/>
  <c r="E46" i="6" l="1"/>
  <c r="F46" i="6"/>
  <c r="H46" i="6" s="1"/>
  <c r="E46" i="5"/>
  <c r="F46" i="5"/>
  <c r="H46" i="5" s="1"/>
  <c r="G46" i="6" l="1"/>
  <c r="R46" i="6" s="1"/>
  <c r="M46" i="6"/>
  <c r="M46" i="5"/>
  <c r="G46" i="5"/>
  <c r="R46" i="5" s="1"/>
  <c r="B47" i="6" l="1"/>
  <c r="O46" i="6"/>
  <c r="B47" i="5"/>
  <c r="O46" i="5"/>
  <c r="E47" i="6" l="1"/>
  <c r="F47" i="6"/>
  <c r="H47" i="6" s="1"/>
  <c r="E47" i="5"/>
  <c r="F47" i="5"/>
  <c r="H47" i="5" s="1"/>
  <c r="G47" i="6" l="1"/>
  <c r="M47" i="6"/>
  <c r="M47" i="5"/>
  <c r="G47" i="5"/>
  <c r="R47" i="5" s="1"/>
  <c r="B48" i="6" l="1"/>
  <c r="O47" i="6"/>
  <c r="I47" i="6" s="1"/>
  <c r="O47" i="5"/>
  <c r="B48" i="5"/>
  <c r="P47" i="6" l="1"/>
  <c r="J47" i="6"/>
  <c r="K47" i="6" s="1"/>
  <c r="N48" i="6" s="1"/>
  <c r="Q47" i="6"/>
  <c r="E48" i="6"/>
  <c r="F48" i="6"/>
  <c r="H48" i="6" s="1"/>
  <c r="E48" i="5"/>
  <c r="F48" i="5"/>
  <c r="H48" i="5" s="1"/>
  <c r="R47" i="6" l="1"/>
  <c r="G48" i="6"/>
  <c r="M48" i="6"/>
  <c r="G48" i="5"/>
  <c r="M48" i="5"/>
  <c r="V13" i="6" l="1"/>
  <c r="W13" i="6"/>
  <c r="O48" i="6"/>
  <c r="I48" i="6" s="1"/>
  <c r="B49" i="6"/>
  <c r="B49" i="5"/>
  <c r="O48" i="5"/>
  <c r="I48" i="5" s="1"/>
  <c r="E49" i="6" l="1"/>
  <c r="F49" i="6"/>
  <c r="H49" i="6" s="1"/>
  <c r="P48" i="6"/>
  <c r="J48" i="6"/>
  <c r="K48" i="6" s="1"/>
  <c r="Q48" i="6"/>
  <c r="J48" i="5"/>
  <c r="K48" i="5" s="1"/>
  <c r="Q48" i="5"/>
  <c r="P48" i="5"/>
  <c r="R48" i="5" s="1"/>
  <c r="E49" i="5"/>
  <c r="F49" i="5"/>
  <c r="H49" i="5" s="1"/>
  <c r="V12" i="5" l="1"/>
  <c r="W12" i="5"/>
  <c r="N50" i="6"/>
  <c r="N51" i="6"/>
  <c r="N52" i="6"/>
  <c r="N49" i="6"/>
  <c r="M49" i="6" s="1"/>
  <c r="R48" i="6"/>
  <c r="G49" i="6"/>
  <c r="R49" i="6" s="1"/>
  <c r="N53" i="5"/>
  <c r="N50" i="5"/>
  <c r="N49" i="5"/>
  <c r="M49" i="5" s="1"/>
  <c r="N54" i="5"/>
  <c r="N51" i="5"/>
  <c r="N52" i="5"/>
  <c r="G49" i="5"/>
  <c r="R49" i="5" s="1"/>
  <c r="B50" i="6" l="1"/>
  <c r="O49" i="6"/>
  <c r="B50" i="5"/>
  <c r="O49" i="5"/>
  <c r="E50" i="6" l="1"/>
  <c r="F50" i="6"/>
  <c r="H50" i="6" s="1"/>
  <c r="E50" i="5"/>
  <c r="F50" i="5"/>
  <c r="H50" i="5" s="1"/>
  <c r="G50" i="6" l="1"/>
  <c r="R50" i="6" s="1"/>
  <c r="M50" i="6"/>
  <c r="G50" i="5"/>
  <c r="R50" i="5" s="1"/>
  <c r="M50" i="5"/>
  <c r="B51" i="6" l="1"/>
  <c r="O50" i="6"/>
  <c r="B51" i="5"/>
  <c r="O50" i="5"/>
  <c r="E51" i="6" l="1"/>
  <c r="F51" i="6"/>
  <c r="H51" i="6" s="1"/>
  <c r="E51" i="5"/>
  <c r="F51" i="5"/>
  <c r="H51" i="5" s="1"/>
  <c r="M51" i="6" l="1"/>
  <c r="G51" i="6"/>
  <c r="R51" i="6" s="1"/>
  <c r="G51" i="5"/>
  <c r="R51" i="5" s="1"/>
  <c r="M51" i="5"/>
  <c r="O51" i="6" l="1"/>
  <c r="B52" i="6"/>
  <c r="B52" i="5"/>
  <c r="O51" i="5"/>
  <c r="E52" i="6" l="1"/>
  <c r="F52" i="6"/>
  <c r="H52" i="6" s="1"/>
  <c r="E52" i="5"/>
  <c r="F52" i="5"/>
  <c r="H52" i="5" s="1"/>
  <c r="G52" i="6" l="1"/>
  <c r="M52" i="6"/>
  <c r="M52" i="5"/>
  <c r="G52" i="5"/>
  <c r="R52" i="5" s="1"/>
  <c r="B53" i="6" l="1"/>
  <c r="O52" i="6"/>
  <c r="I52" i="6" s="1"/>
  <c r="B53" i="5"/>
  <c r="O52" i="5"/>
  <c r="P52" i="6" l="1"/>
  <c r="Q52" i="6"/>
  <c r="J52" i="6"/>
  <c r="K52" i="6" s="1"/>
  <c r="E53" i="6"/>
  <c r="F53" i="6"/>
  <c r="H53" i="6" s="1"/>
  <c r="E53" i="5"/>
  <c r="F53" i="5"/>
  <c r="H53" i="5" s="1"/>
  <c r="N53" i="6" l="1"/>
  <c r="M53" i="6" s="1"/>
  <c r="N54" i="6"/>
  <c r="R52" i="6"/>
  <c r="G53" i="6"/>
  <c r="R53" i="6" s="1"/>
  <c r="G53" i="5"/>
  <c r="R53" i="5" s="1"/>
  <c r="M53" i="5"/>
  <c r="V14" i="6" l="1"/>
  <c r="W14" i="6"/>
  <c r="B54" i="6"/>
  <c r="O53" i="6"/>
  <c r="B54" i="5"/>
  <c r="O53" i="5"/>
  <c r="E54" i="6" l="1"/>
  <c r="F54" i="6"/>
  <c r="H54" i="6" s="1"/>
  <c r="E54" i="5"/>
  <c r="F54" i="5"/>
  <c r="H54" i="5" s="1"/>
  <c r="M54" i="6" l="1"/>
  <c r="G54" i="6"/>
  <c r="G54" i="5"/>
  <c r="M54" i="5"/>
  <c r="O54" i="6" l="1"/>
  <c r="I54" i="6" s="1"/>
  <c r="B55" i="6"/>
  <c r="O54" i="5"/>
  <c r="I54" i="5" s="1"/>
  <c r="B55" i="5"/>
  <c r="E55" i="6" l="1"/>
  <c r="F55" i="6"/>
  <c r="H55" i="6" s="1"/>
  <c r="P54" i="6"/>
  <c r="J54" i="6"/>
  <c r="K54" i="6" s="1"/>
  <c r="Q54" i="6"/>
  <c r="E55" i="5"/>
  <c r="F55" i="5"/>
  <c r="H55" i="5" s="1"/>
  <c r="P54" i="5"/>
  <c r="J54" i="5"/>
  <c r="K54" i="5" s="1"/>
  <c r="Q54" i="5"/>
  <c r="N56" i="6" l="1"/>
  <c r="N55" i="6"/>
  <c r="M55" i="6" s="1"/>
  <c r="N57" i="6"/>
  <c r="R54" i="6"/>
  <c r="G55" i="6"/>
  <c r="R55" i="6" s="1"/>
  <c r="N55" i="5"/>
  <c r="M55" i="5" s="1"/>
  <c r="N58" i="5"/>
  <c r="N60" i="5"/>
  <c r="N57" i="5"/>
  <c r="N59" i="5"/>
  <c r="N56" i="5"/>
  <c r="R54" i="5"/>
  <c r="G55" i="5"/>
  <c r="R55" i="5" s="1"/>
  <c r="V13" i="5" l="1"/>
  <c r="W13" i="5"/>
  <c r="B56" i="6"/>
  <c r="O55" i="6"/>
  <c r="B56" i="5"/>
  <c r="O55" i="5"/>
  <c r="E56" i="6" l="1"/>
  <c r="F56" i="6"/>
  <c r="H56" i="6" s="1"/>
  <c r="E56" i="5"/>
  <c r="F56" i="5"/>
  <c r="H56" i="5" s="1"/>
  <c r="G56" i="6" l="1"/>
  <c r="R56" i="6" s="1"/>
  <c r="M56" i="6"/>
  <c r="G56" i="5"/>
  <c r="R56" i="5" s="1"/>
  <c r="M56" i="5"/>
  <c r="B57" i="6" l="1"/>
  <c r="O56" i="6"/>
  <c r="B57" i="5"/>
  <c r="O56" i="5"/>
  <c r="E57" i="6" l="1"/>
  <c r="F57" i="6"/>
  <c r="H57" i="6" s="1"/>
  <c r="E57" i="5"/>
  <c r="F57" i="5"/>
  <c r="H57" i="5" s="1"/>
  <c r="M57" i="6" l="1"/>
  <c r="G57" i="6"/>
  <c r="G57" i="5"/>
  <c r="R57" i="5" s="1"/>
  <c r="M57" i="5"/>
  <c r="O57" i="6" l="1"/>
  <c r="I57" i="6" s="1"/>
  <c r="B58" i="6"/>
  <c r="O57" i="5"/>
  <c r="B58" i="5"/>
  <c r="P57" i="6" l="1"/>
  <c r="Q57" i="6"/>
  <c r="J57" i="6"/>
  <c r="K57" i="6" s="1"/>
  <c r="E58" i="6"/>
  <c r="F58" i="6"/>
  <c r="H58" i="6" s="1"/>
  <c r="E58" i="5"/>
  <c r="F58" i="5"/>
  <c r="H58" i="5" s="1"/>
  <c r="N59" i="6" l="1"/>
  <c r="N60" i="6"/>
  <c r="N58" i="6"/>
  <c r="M58" i="6" s="1"/>
  <c r="R57" i="6"/>
  <c r="G58" i="6"/>
  <c r="R58" i="6" s="1"/>
  <c r="M58" i="5"/>
  <c r="G58" i="5"/>
  <c r="R58" i="5" s="1"/>
  <c r="V15" i="6" l="1"/>
  <c r="W15" i="6"/>
  <c r="B59" i="6"/>
  <c r="O58" i="6"/>
  <c r="B59" i="5"/>
  <c r="O58" i="5"/>
  <c r="E59" i="6" l="1"/>
  <c r="F59" i="6"/>
  <c r="H59" i="6" s="1"/>
  <c r="E59" i="5"/>
  <c r="F59" i="5"/>
  <c r="H59" i="5" s="1"/>
  <c r="G59" i="6" l="1"/>
  <c r="R59" i="6" s="1"/>
  <c r="M59" i="6"/>
  <c r="G59" i="5"/>
  <c r="R59" i="5" s="1"/>
  <c r="M59" i="5"/>
  <c r="B60" i="6" l="1"/>
  <c r="O59" i="6"/>
  <c r="B60" i="5"/>
  <c r="O59" i="5"/>
  <c r="E60" i="6" l="1"/>
  <c r="F60" i="6"/>
  <c r="H60" i="6" s="1"/>
  <c r="E60" i="5"/>
  <c r="F60" i="5"/>
  <c r="H60" i="5" s="1"/>
  <c r="M60" i="6" l="1"/>
  <c r="G60" i="6"/>
  <c r="G60" i="5"/>
  <c r="M60" i="5"/>
  <c r="O60" i="6" l="1"/>
  <c r="I60" i="6" s="1"/>
  <c r="B61" i="6"/>
  <c r="O60" i="5"/>
  <c r="I60" i="5" s="1"/>
  <c r="B61" i="5"/>
  <c r="E61" i="6" l="1"/>
  <c r="F61" i="6"/>
  <c r="H61" i="6" s="1"/>
  <c r="Q60" i="6"/>
  <c r="P60" i="6"/>
  <c r="R60" i="6" s="1"/>
  <c r="J60" i="6"/>
  <c r="K60" i="6" s="1"/>
  <c r="E61" i="5"/>
  <c r="F61" i="5"/>
  <c r="H61" i="5" s="1"/>
  <c r="P60" i="5"/>
  <c r="J60" i="5"/>
  <c r="K60" i="5" s="1"/>
  <c r="Q60" i="5"/>
  <c r="N62" i="6" l="1"/>
  <c r="N61" i="6"/>
  <c r="M61" i="6" s="1"/>
  <c r="G61" i="6"/>
  <c r="R61" i="6" s="1"/>
  <c r="N63" i="5"/>
  <c r="N61" i="5"/>
  <c r="M61" i="5" s="1"/>
  <c r="N66" i="5"/>
  <c r="N65" i="5"/>
  <c r="N62" i="5"/>
  <c r="N64" i="5"/>
  <c r="R60" i="5"/>
  <c r="G61" i="5"/>
  <c r="R61" i="5" s="1"/>
  <c r="V14" i="5" l="1"/>
  <c r="W14" i="5"/>
  <c r="B62" i="6"/>
  <c r="O61" i="6"/>
  <c r="B62" i="5"/>
  <c r="O61" i="5"/>
  <c r="E62" i="6" l="1"/>
  <c r="F62" i="6"/>
  <c r="H62" i="6" s="1"/>
  <c r="E62" i="5"/>
  <c r="F62" i="5"/>
  <c r="H62" i="5" s="1"/>
  <c r="G62" i="6" l="1"/>
  <c r="M62" i="6"/>
  <c r="G62" i="5"/>
  <c r="R62" i="5" s="1"/>
  <c r="M62" i="5"/>
  <c r="O62" i="6" l="1"/>
  <c r="I62" i="6" s="1"/>
  <c r="B63" i="5"/>
  <c r="O62" i="5"/>
  <c r="Q62" i="6" l="1"/>
  <c r="J62" i="6"/>
  <c r="K62" i="6" s="1"/>
  <c r="P62" i="6"/>
  <c r="E63" i="5"/>
  <c r="F63" i="5"/>
  <c r="H63" i="5" s="1"/>
  <c r="R62" i="6" l="1"/>
  <c r="P4" i="6"/>
  <c r="O4" i="6"/>
  <c r="V16" i="6"/>
  <c r="V17" i="6" s="1"/>
  <c r="G63" i="5"/>
  <c r="R63" i="5" s="1"/>
  <c r="M63" i="5"/>
  <c r="O5" i="6" l="1"/>
  <c r="P5" i="6"/>
  <c r="W16" i="6"/>
  <c r="W17" i="6" s="1"/>
  <c r="O63" i="5"/>
  <c r="B64" i="5"/>
  <c r="E64" i="5" l="1"/>
  <c r="F64" i="5"/>
  <c r="H64" i="5" s="1"/>
  <c r="G64" i="5" l="1"/>
  <c r="R64" i="5" s="1"/>
  <c r="M64" i="5"/>
  <c r="B65" i="5" l="1"/>
  <c r="O64" i="5"/>
  <c r="E65" i="5" l="1"/>
  <c r="F65" i="5"/>
  <c r="H65" i="5" s="1"/>
  <c r="G65" i="5" l="1"/>
  <c r="R65" i="5" s="1"/>
  <c r="M65" i="5"/>
  <c r="B66" i="5" l="1"/>
  <c r="O65" i="5"/>
  <c r="E66" i="5" l="1"/>
  <c r="F66" i="5"/>
  <c r="H66" i="5" s="1"/>
  <c r="G66" i="5" l="1"/>
  <c r="M66" i="5"/>
  <c r="O66" i="5" l="1"/>
  <c r="I66" i="5" s="1"/>
  <c r="B67" i="5"/>
  <c r="E67" i="5" l="1"/>
  <c r="F67" i="5"/>
  <c r="H67" i="5" s="1"/>
  <c r="P66" i="5"/>
  <c r="J66" i="5"/>
  <c r="K66" i="5" s="1"/>
  <c r="Q66" i="5"/>
  <c r="N72" i="5" l="1"/>
  <c r="N70" i="5"/>
  <c r="N68" i="5"/>
  <c r="N67" i="5"/>
  <c r="M67" i="5" s="1"/>
  <c r="N69" i="5"/>
  <c r="N71" i="5"/>
  <c r="R66" i="5"/>
  <c r="G67" i="5"/>
  <c r="R67" i="5" s="1"/>
  <c r="V15" i="5" l="1"/>
  <c r="W15" i="5"/>
  <c r="B68" i="5"/>
  <c r="O67" i="5"/>
  <c r="E68" i="5" l="1"/>
  <c r="F68" i="5"/>
  <c r="H68" i="5" s="1"/>
  <c r="G68" i="5" l="1"/>
  <c r="R68" i="5" s="1"/>
  <c r="M68" i="5"/>
  <c r="B69" i="5" l="1"/>
  <c r="O68" i="5"/>
  <c r="E69" i="5" l="1"/>
  <c r="F69" i="5"/>
  <c r="H69" i="5" s="1"/>
  <c r="M69" i="5" l="1"/>
  <c r="G69" i="5"/>
  <c r="R69" i="5" s="1"/>
  <c r="O69" i="5" l="1"/>
  <c r="B70" i="5"/>
  <c r="E70" i="5" l="1"/>
  <c r="F70" i="5"/>
  <c r="H70" i="5" s="1"/>
  <c r="M70" i="5" l="1"/>
  <c r="G70" i="5"/>
  <c r="R70" i="5" s="1"/>
  <c r="B71" i="5" l="1"/>
  <c r="O70" i="5"/>
  <c r="E71" i="5" l="1"/>
  <c r="F71" i="5"/>
  <c r="H71" i="5" s="1"/>
  <c r="G71" i="5" l="1"/>
  <c r="R71" i="5" s="1"/>
  <c r="M71" i="5"/>
  <c r="B72" i="5" l="1"/>
  <c r="O71" i="5"/>
  <c r="E72" i="5" l="1"/>
  <c r="F72" i="5"/>
  <c r="H72" i="5" s="1"/>
  <c r="M72" i="5" l="1"/>
  <c r="O72" i="5" s="1"/>
  <c r="I72" i="5" s="1"/>
  <c r="G72" i="5"/>
  <c r="Q72" i="5" l="1"/>
  <c r="P72" i="5"/>
  <c r="R72" i="5" s="1"/>
  <c r="J72" i="5"/>
  <c r="K72" i="5" s="1"/>
  <c r="O5" i="5" l="1"/>
  <c r="P5" i="5"/>
  <c r="W16" i="5"/>
  <c r="W17" i="5" s="1"/>
  <c r="O4" i="5"/>
  <c r="P4" i="5"/>
  <c r="V16" i="5"/>
  <c r="V17" i="5" s="1"/>
</calcChain>
</file>

<file path=xl/sharedStrings.xml><?xml version="1.0" encoding="utf-8"?>
<sst xmlns="http://schemas.openxmlformats.org/spreadsheetml/2006/main" count="100" uniqueCount="44">
  <si>
    <t>Daily demand</t>
  </si>
  <si>
    <t>Demand</t>
  </si>
  <si>
    <t>Probability</t>
  </si>
  <si>
    <t>Cummulative Probability</t>
  </si>
  <si>
    <t>Lead Time</t>
  </si>
  <si>
    <t>Lead</t>
  </si>
  <si>
    <t>SIMULATION TABLE</t>
  </si>
  <si>
    <t>Day</t>
  </si>
  <si>
    <t>Begin Inv</t>
  </si>
  <si>
    <t>Rand Demand</t>
  </si>
  <si>
    <t>End Inv</t>
  </si>
  <si>
    <t>Shortage</t>
  </si>
  <si>
    <t>Holding Cost</t>
  </si>
  <si>
    <t>Shortage Cost</t>
  </si>
  <si>
    <t>Order Qty</t>
  </si>
  <si>
    <t>Arrival Day</t>
  </si>
  <si>
    <t>Rand Lead Time</t>
  </si>
  <si>
    <t>Adjusted End Inv</t>
  </si>
  <si>
    <t>Inventory Position</t>
  </si>
  <si>
    <t>Arrival Today</t>
  </si>
  <si>
    <t xml:space="preserve">Policy </t>
  </si>
  <si>
    <t>Policy</t>
  </si>
  <si>
    <t>M</t>
  </si>
  <si>
    <t>N</t>
  </si>
  <si>
    <t>A</t>
  </si>
  <si>
    <t>B</t>
  </si>
  <si>
    <t>C</t>
  </si>
  <si>
    <t>D</t>
  </si>
  <si>
    <t>Policy Selector</t>
  </si>
  <si>
    <t>Parameter</t>
  </si>
  <si>
    <t>Value</t>
  </si>
  <si>
    <t>Selected Policy</t>
  </si>
  <si>
    <t>Active M</t>
  </si>
  <si>
    <t>Active N</t>
  </si>
  <si>
    <t>Purchase Cost</t>
  </si>
  <si>
    <t>Total Cost</t>
  </si>
  <si>
    <t>Ordering Cost</t>
  </si>
  <si>
    <t>Avg Cost</t>
  </si>
  <si>
    <t>Cycle</t>
  </si>
  <si>
    <t>Total Cost (Policy A)</t>
  </si>
  <si>
    <t>Total Cost (Policy B)</t>
  </si>
  <si>
    <t>Total Cost (Policy C)</t>
  </si>
  <si>
    <t>Total Cost (Policy D)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</si>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</sst>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0" xfId="0" applyFill="1"/>
    <xf numFmtId="0" fontId="1" fillId="3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9" xfId="0" applyBorder="1"/>
    <xf numFmtId="0" fontId="1" fillId="3" borderId="10" xfId="0" applyFont="1" applyFill="1" applyBorder="1"/>
    <xf numFmtId="0" fontId="0" fillId="0" borderId="10" xfId="0" applyBorder="1"/>
    <xf numFmtId="0" fontId="0" fillId="0" borderId="11" xfId="0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11" xfId="0" applyFont="1" applyFill="1" applyBorder="1"/>
    <xf numFmtId="0" fontId="1" fillId="2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Average Cost by Inventory Policy (M,N)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'Sheet B &amp; D'!$U$24:$U$27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'Sheet B &amp; D'!$X$24:$X$27</c:f>
              <c:numCache>
                <c:formatCode>General</c:formatCode>
                <c:ptCount val="4"/>
                <c:pt idx="0">
                  <c:v>433.75</c:v>
                </c:pt>
                <c:pt idx="1">
                  <c:v>516.85</c:v>
                </c:pt>
                <c:pt idx="2">
                  <c:v>464.15</c:v>
                </c:pt>
                <c:pt idx="3">
                  <c:v>547.45000000000005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2DC-80D3-B12D599B65C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70138368"/>
        <c:axId val="1470147488"/>
      </c:barChart>
      <c:catAx>
        <c:axId val="1470138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Policy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47488"/>
        <c:crosses val="autoZero"/>
        <c:auto val="1"/>
        <c:lblAlgn val="ctr"/>
        <c:lblOffset val="100"/>
        <c:noMultiLvlLbl val="0"/>
      </c:catAx>
      <c:valAx>
        <c:axId val="14701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 i="0" u="none" strike="noStrike" baseline="0"/>
                  <a:t>Average Cost ($)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13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1352939</xdr:colOff>
      <xdr:row>28</xdr:row>
      <xdr:rowOff>175055</xdr:rowOff>
    </xdr:from>
    <xdr:to>
      <xdr:col>29</xdr:col>
      <xdr:colOff>195649</xdr:colOff>
      <xdr:row>66</xdr:row>
      <xdr:rowOff>164756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2128426-52DC-0F44-021D-7117085F64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AE128-A43B-429B-8A54-8DD005F7B8C9}">
  <dimension ref="A1:Z72"/>
  <sheetViews>
    <sheetView tabSelected="1" zoomScale="40" workbookViewId="0">
      <selection activeCell="S23" sqref="S23"/>
    </sheetView>
  </sheetViews>
  <sheetFormatPr defaultRowHeight="14.4" x14ac:dyDescent="0.55000000000000004"/>
  <cols>
    <col min="3" max="3" width="21.05078125" customWidth="1"/>
    <col min="4" max="4" width="20.5234375" customWidth="1"/>
    <col min="5" max="5" width="28.3671875" customWidth="1"/>
    <col min="6" max="6" width="21.3125" customWidth="1"/>
    <col min="8" max="8" width="13.578125" customWidth="1"/>
    <col min="9" max="9" width="21.26171875" customWidth="1"/>
    <col min="10" max="10" width="13.47265625" customWidth="1"/>
    <col min="11" max="11" width="14.5234375" customWidth="1"/>
    <col min="12" max="12" width="11.578125" customWidth="1"/>
    <col min="13" max="13" width="14.26171875" customWidth="1"/>
    <col min="14" max="14" width="16.5234375" customWidth="1"/>
    <col min="15" max="15" width="13.5234375" customWidth="1"/>
    <col min="16" max="16" width="17.41796875" customWidth="1"/>
    <col min="17" max="17" width="22.83984375" customWidth="1"/>
    <col min="18" max="18" width="20.9453125" customWidth="1"/>
    <col min="19" max="19" width="20.41796875" customWidth="1"/>
    <col min="20" max="20" width="16.68359375" customWidth="1"/>
    <col min="21" max="21" width="20.20703125" customWidth="1"/>
    <col min="22" max="22" width="18.68359375" customWidth="1"/>
    <col min="23" max="23" width="17.9453125" customWidth="1"/>
    <col min="24" max="24" width="20.9453125" customWidth="1"/>
    <col min="25" max="25" width="18.89453125" customWidth="1"/>
    <col min="26" max="26" width="24.1015625" customWidth="1"/>
  </cols>
  <sheetData>
    <row r="1" spans="1:26" ht="14.7" thickBot="1" x14ac:dyDescent="0.6"/>
    <row r="2" spans="1:26" ht="14.7" thickBot="1" x14ac:dyDescent="0.6">
      <c r="C2" s="2"/>
      <c r="D2" s="15" t="s">
        <v>0</v>
      </c>
      <c r="E2" s="3"/>
      <c r="G2" s="2"/>
      <c r="H2" s="15" t="s">
        <v>4</v>
      </c>
      <c r="I2" s="3"/>
      <c r="L2" s="21"/>
      <c r="M2" s="22" t="s">
        <v>20</v>
      </c>
      <c r="N2" s="23"/>
      <c r="O2" s="23"/>
      <c r="P2" s="24"/>
      <c r="R2" s="2"/>
      <c r="S2" s="16" t="s">
        <v>28</v>
      </c>
    </row>
    <row r="3" spans="1:26" x14ac:dyDescent="0.55000000000000004">
      <c r="C3" s="12" t="s">
        <v>1</v>
      </c>
      <c r="D3" s="14" t="s">
        <v>2</v>
      </c>
      <c r="E3" s="13" t="s">
        <v>3</v>
      </c>
      <c r="F3" s="1"/>
      <c r="G3" s="12" t="s">
        <v>5</v>
      </c>
      <c r="H3" s="14" t="s">
        <v>2</v>
      </c>
      <c r="I3" s="13" t="s">
        <v>3</v>
      </c>
      <c r="J3" s="1"/>
      <c r="K3" s="1"/>
      <c r="L3" s="12" t="s">
        <v>21</v>
      </c>
      <c r="M3" s="14" t="s">
        <v>22</v>
      </c>
      <c r="N3" s="14" t="s">
        <v>23</v>
      </c>
      <c r="O3" s="14" t="s">
        <v>35</v>
      </c>
      <c r="P3" s="13" t="s">
        <v>37</v>
      </c>
      <c r="R3" s="12" t="s">
        <v>29</v>
      </c>
      <c r="S3" s="13" t="s">
        <v>30</v>
      </c>
    </row>
    <row r="4" spans="1:26" x14ac:dyDescent="0.55000000000000004">
      <c r="C4" s="4">
        <v>0</v>
      </c>
      <c r="D4">
        <v>0.1</v>
      </c>
      <c r="E4" s="5">
        <f>SUM($D$4:D4)</f>
        <v>0.1</v>
      </c>
      <c r="G4" s="4">
        <v>1</v>
      </c>
      <c r="H4">
        <v>0.6</v>
      </c>
      <c r="I4" s="5">
        <f>SUM($H$4:H4)</f>
        <v>0.6</v>
      </c>
      <c r="L4" s="4" t="s">
        <v>25</v>
      </c>
      <c r="M4">
        <v>11</v>
      </c>
      <c r="N4">
        <v>6</v>
      </c>
      <c r="O4" t="str">
        <f>IF($S$4="B",SUM($R$13:$R$72),"")</f>
        <v/>
      </c>
      <c r="P4" s="5" t="str">
        <f>IF($S$4="B",SUM($R$13:$R$72)/10,"")</f>
        <v/>
      </c>
      <c r="R4" s="4" t="s">
        <v>31</v>
      </c>
      <c r="S4" s="5" t="s">
        <v>27</v>
      </c>
    </row>
    <row r="5" spans="1:26" ht="14.7" thickBot="1" x14ac:dyDescent="0.6">
      <c r="C5" s="4">
        <v>1</v>
      </c>
      <c r="D5">
        <v>0.25</v>
      </c>
      <c r="E5" s="5">
        <f>SUM($D$4:D5)</f>
        <v>0.35</v>
      </c>
      <c r="G5" s="4">
        <v>2</v>
      </c>
      <c r="H5">
        <v>0.3</v>
      </c>
      <c r="I5" s="5">
        <f>SUM($H$4:H5)</f>
        <v>0.89999999999999991</v>
      </c>
      <c r="L5" s="6" t="s">
        <v>27</v>
      </c>
      <c r="M5" s="7">
        <v>12</v>
      </c>
      <c r="N5" s="7">
        <v>6</v>
      </c>
      <c r="O5" s="7">
        <f>IF($S$4="D",SUM($R$13:$R$72),"")</f>
        <v>5474.5</v>
      </c>
      <c r="P5" s="8">
        <f>IF($S$4="D",SUM($R$13:$R$72)/10,"")</f>
        <v>547.45000000000005</v>
      </c>
      <c r="R5" s="4" t="s">
        <v>32</v>
      </c>
      <c r="S5" s="5">
        <f>_xlfn.XLOOKUP(S4,L4:L6,M4:M6)</f>
        <v>12</v>
      </c>
    </row>
    <row r="6" spans="1:26" ht="14.7" thickBot="1" x14ac:dyDescent="0.6">
      <c r="C6" s="4">
        <v>2</v>
      </c>
      <c r="D6">
        <v>0.35</v>
      </c>
      <c r="E6" s="5">
        <f>SUM($D$4:D6)</f>
        <v>0.7</v>
      </c>
      <c r="G6" s="6">
        <v>3</v>
      </c>
      <c r="H6" s="7">
        <v>0.1</v>
      </c>
      <c r="I6" s="8">
        <f>SUM($H$4:H6)</f>
        <v>0.99999999999999989</v>
      </c>
      <c r="R6" s="6" t="s">
        <v>33</v>
      </c>
      <c r="S6" s="8">
        <f>_xlfn.XLOOKUP(S4,L4:L6,N4:N6)</f>
        <v>6</v>
      </c>
      <c r="U6" s="25" t="s">
        <v>38</v>
      </c>
      <c r="V6" s="26" t="s">
        <v>40</v>
      </c>
      <c r="W6" s="27" t="s">
        <v>42</v>
      </c>
      <c r="X6" s="30"/>
      <c r="Z6" s="30"/>
    </row>
    <row r="7" spans="1:26" x14ac:dyDescent="0.55000000000000004">
      <c r="C7" s="4">
        <v>3</v>
      </c>
      <c r="D7">
        <v>0.21</v>
      </c>
      <c r="E7" s="5">
        <f>SUM($D$4:D7)</f>
        <v>0.90999999999999992</v>
      </c>
      <c r="U7" s="4">
        <v>1</v>
      </c>
      <c r="V7" t="str">
        <f>IF($S$4="B",SUM(R13:R18),"")</f>
        <v/>
      </c>
      <c r="W7" s="5">
        <f>IF($S$4="D",SUM(R13:R18),"")</f>
        <v>457</v>
      </c>
    </row>
    <row r="8" spans="1:26" ht="14.7" thickBot="1" x14ac:dyDescent="0.6">
      <c r="C8" s="6">
        <v>4</v>
      </c>
      <c r="D8" s="7">
        <v>0.09</v>
      </c>
      <c r="E8" s="8">
        <f>SUM($D$4:D8)</f>
        <v>0.99999999999999989</v>
      </c>
      <c r="U8" s="4">
        <v>2</v>
      </c>
      <c r="V8" t="str">
        <f>IF($S$4="B",SUM(R19:R24),"")</f>
        <v/>
      </c>
      <c r="W8" s="5">
        <f>IF($S$4="D",SUM(R19:R24),"")</f>
        <v>635.5</v>
      </c>
    </row>
    <row r="9" spans="1:26" x14ac:dyDescent="0.55000000000000004">
      <c r="U9" s="4">
        <f t="shared" ref="U9:U16" si="0">U8+1</f>
        <v>3</v>
      </c>
      <c r="V9" t="str">
        <f>IF($S$4="B",SUM(R25:R30),"")</f>
        <v/>
      </c>
      <c r="W9" s="5">
        <f>IF($S$4="D",SUM(R25:R30),"")</f>
        <v>522</v>
      </c>
    </row>
    <row r="10" spans="1:26" x14ac:dyDescent="0.55000000000000004">
      <c r="F10" s="18" t="s">
        <v>6</v>
      </c>
      <c r="U10" s="4">
        <f t="shared" si="0"/>
        <v>4</v>
      </c>
      <c r="V10" t="str">
        <f>IF($S$4="B",SUM(R31:R36),"")</f>
        <v/>
      </c>
      <c r="W10" s="5">
        <f>IF($S$4="D",SUM(R31:R36),"")</f>
        <v>576</v>
      </c>
    </row>
    <row r="11" spans="1:26" ht="14.7" thickBot="1" x14ac:dyDescent="0.6">
      <c r="D11" s="17"/>
      <c r="U11" s="4">
        <f t="shared" si="0"/>
        <v>5</v>
      </c>
      <c r="V11" t="str">
        <f>IF($S$4="B",SUM(R37:R42),"")</f>
        <v/>
      </c>
      <c r="W11" s="5">
        <f>IF($S$4="D",SUM(R37:R42),"")</f>
        <v>556</v>
      </c>
    </row>
    <row r="12" spans="1:26" ht="28.8" x14ac:dyDescent="0.55000000000000004">
      <c r="A12" s="19" t="s">
        <v>7</v>
      </c>
      <c r="B12" s="20" t="s">
        <v>8</v>
      </c>
      <c r="C12" s="20" t="s">
        <v>9</v>
      </c>
      <c r="D12" s="20" t="s">
        <v>1</v>
      </c>
      <c r="E12" s="20" t="s">
        <v>10</v>
      </c>
      <c r="F12" s="20" t="s">
        <v>11</v>
      </c>
      <c r="G12" s="20" t="s">
        <v>12</v>
      </c>
      <c r="H12" s="20" t="s">
        <v>13</v>
      </c>
      <c r="I12" s="20" t="s">
        <v>14</v>
      </c>
      <c r="J12" s="20" t="s">
        <v>4</v>
      </c>
      <c r="K12" s="20" t="s">
        <v>15</v>
      </c>
      <c r="L12" s="20" t="s">
        <v>16</v>
      </c>
      <c r="M12" s="20" t="s">
        <v>17</v>
      </c>
      <c r="N12" s="20" t="s">
        <v>19</v>
      </c>
      <c r="O12" s="20" t="s">
        <v>18</v>
      </c>
      <c r="P12" s="20" t="s">
        <v>34</v>
      </c>
      <c r="Q12" s="10" t="s">
        <v>36</v>
      </c>
      <c r="R12" s="11" t="s">
        <v>35</v>
      </c>
      <c r="U12" s="4">
        <f t="shared" si="0"/>
        <v>6</v>
      </c>
      <c r="V12" t="str">
        <f>IF($S$4="B",SUM(R43:R48),"")</f>
        <v/>
      </c>
      <c r="W12" s="5">
        <f>IF($S$4="D",SUM(R43:R48),"")</f>
        <v>528</v>
      </c>
    </row>
    <row r="13" spans="1:26" x14ac:dyDescent="0.55000000000000004">
      <c r="A13" s="4">
        <v>1</v>
      </c>
      <c r="B13">
        <v>3</v>
      </c>
      <c r="C13">
        <v>0.39523366040954333</v>
      </c>
      <c r="D13">
        <f>_xlfn.XLOOKUP(C13, $E$4:$E$8, $C$4:$C$8,,1)</f>
        <v>2</v>
      </c>
      <c r="E13">
        <f>MAX(0, B13-D13)</f>
        <v>1</v>
      </c>
      <c r="F13">
        <f>MAX(0, D13 - B13)</f>
        <v>0</v>
      </c>
      <c r="G13">
        <f>E13 * 2</f>
        <v>2</v>
      </c>
      <c r="H13">
        <f>F13 * 1.5</f>
        <v>0</v>
      </c>
      <c r="I13">
        <f t="shared" ref="I13:I72" si="1">IF(MOD(A13,$S$6)=0,MAX(0,$S$5-O13),0)</f>
        <v>0</v>
      </c>
      <c r="J13" t="str">
        <f>IF(I13=0,"",_xlfn.XLOOKUP(L13,$I$4:$I$6,$G$4:$G$6,,1))</f>
        <v/>
      </c>
      <c r="K13" t="str">
        <f>IF(I13=0,"",A13+J13)</f>
        <v/>
      </c>
      <c r="L13">
        <v>0.17415019399941711</v>
      </c>
      <c r="M13">
        <f>E13+N13</f>
        <v>1</v>
      </c>
      <c r="N13">
        <f>IF(A13=3,8,0)+SUMIFS($I12:I$13,$K12:K$13,A13)</f>
        <v>0</v>
      </c>
      <c r="O13">
        <f>M13</f>
        <v>1</v>
      </c>
      <c r="P13">
        <f>I13*50</f>
        <v>0</v>
      </c>
      <c r="Q13">
        <f>IF(I13&gt;0,10,0)</f>
        <v>0</v>
      </c>
      <c r="R13" s="5">
        <f>G13+H13+P13+Q13</f>
        <v>2</v>
      </c>
      <c r="U13" s="4">
        <f t="shared" si="0"/>
        <v>7</v>
      </c>
      <c r="V13" t="str">
        <f>IF($S$4="B",SUM(R49:R54),"")</f>
        <v/>
      </c>
      <c r="W13" s="5">
        <f>IF($S$4="D",SUM(R49:R54),"")</f>
        <v>430</v>
      </c>
    </row>
    <row r="14" spans="1:26" x14ac:dyDescent="0.55000000000000004">
      <c r="A14" s="4">
        <v>2</v>
      </c>
      <c r="B14">
        <f>M13</f>
        <v>1</v>
      </c>
      <c r="C14">
        <v>0.96638252032503258</v>
      </c>
      <c r="D14">
        <f t="shared" ref="D14:D72" si="2">_xlfn.XLOOKUP(C14, $E$4:$E$8, $C$4:$C$8,,1)</f>
        <v>4</v>
      </c>
      <c r="E14">
        <f t="shared" ref="E14:E72" si="3">MAX(0, B14-D14)</f>
        <v>0</v>
      </c>
      <c r="F14">
        <f t="shared" ref="F14:F72" si="4">MAX(0, D14 - B14)</f>
        <v>3</v>
      </c>
      <c r="G14">
        <f t="shared" ref="G14:G72" si="5">E14 * 2</f>
        <v>0</v>
      </c>
      <c r="H14">
        <f t="shared" ref="H14:H72" si="6">F14 * 1.5</f>
        <v>4.5</v>
      </c>
      <c r="I14">
        <f t="shared" si="1"/>
        <v>0</v>
      </c>
      <c r="J14" t="str">
        <f t="shared" ref="J14:J72" si="7">IF(I14=0,"",_xlfn.XLOOKUP(L14,$I$4:$I$6,$G$4:$G$6,,1))</f>
        <v/>
      </c>
      <c r="K14" t="str">
        <f t="shared" ref="K14:K72" si="8">IF(I14=0,"",A14+J14)</f>
        <v/>
      </c>
      <c r="L14">
        <v>0.76591352999293116</v>
      </c>
      <c r="M14">
        <f t="shared" ref="M14:M72" si="9">E14+N14</f>
        <v>0</v>
      </c>
      <c r="N14">
        <f>IF(A14=3,8,0)+SUMIFS($I13:I$13,$K13:K$13,A14)</f>
        <v>0</v>
      </c>
      <c r="O14">
        <f t="shared" ref="O14:O72" si="10">M14</f>
        <v>0</v>
      </c>
      <c r="P14">
        <f t="shared" ref="P14:P72" si="11">I14*50</f>
        <v>0</v>
      </c>
      <c r="Q14">
        <f t="shared" ref="Q14:Q72" si="12">IF(I14&gt;0,10,0)</f>
        <v>0</v>
      </c>
      <c r="R14" s="5">
        <f t="shared" ref="R14:R72" si="13">G14+H14+P14+Q14</f>
        <v>4.5</v>
      </c>
      <c r="U14" s="4">
        <f t="shared" si="0"/>
        <v>8</v>
      </c>
      <c r="V14" t="str">
        <f>IF($S$4="B",SUM(R55:R60),"")</f>
        <v/>
      </c>
      <c r="W14" s="5">
        <f>IF($S$4="D",SUM(R55:R60),"")</f>
        <v>627</v>
      </c>
    </row>
    <row r="15" spans="1:26" x14ac:dyDescent="0.55000000000000004">
      <c r="A15" s="4">
        <v>3</v>
      </c>
      <c r="B15">
        <f t="shared" ref="B15:B72" si="14">M14</f>
        <v>0</v>
      </c>
      <c r="C15">
        <v>0.71232485581149263</v>
      </c>
      <c r="D15">
        <f t="shared" si="2"/>
        <v>3</v>
      </c>
      <c r="E15">
        <f t="shared" si="3"/>
        <v>0</v>
      </c>
      <c r="F15">
        <f t="shared" si="4"/>
        <v>3</v>
      </c>
      <c r="G15">
        <f t="shared" si="5"/>
        <v>0</v>
      </c>
      <c r="H15">
        <f t="shared" si="6"/>
        <v>4.5</v>
      </c>
      <c r="I15">
        <f t="shared" si="1"/>
        <v>0</v>
      </c>
      <c r="J15" t="str">
        <f t="shared" si="7"/>
        <v/>
      </c>
      <c r="K15" t="str">
        <f t="shared" si="8"/>
        <v/>
      </c>
      <c r="L15">
        <v>0.8547687621961062</v>
      </c>
      <c r="M15">
        <f t="shared" si="9"/>
        <v>8</v>
      </c>
      <c r="N15">
        <f>IF(A15=3,8,0)+SUMIFS($I$13:I14,$K$13:K14,A15)</f>
        <v>8</v>
      </c>
      <c r="O15">
        <f t="shared" si="10"/>
        <v>8</v>
      </c>
      <c r="P15">
        <f t="shared" si="11"/>
        <v>0</v>
      </c>
      <c r="Q15">
        <f t="shared" si="12"/>
        <v>0</v>
      </c>
      <c r="R15" s="5">
        <f t="shared" si="13"/>
        <v>4.5</v>
      </c>
      <c r="U15" s="4">
        <f t="shared" si="0"/>
        <v>9</v>
      </c>
      <c r="V15" t="str">
        <f>IF($S$4="B",SUM(R61:R66),"")</f>
        <v/>
      </c>
      <c r="W15" s="5">
        <f>IF($S$4="D",SUM(R61:R66),"")</f>
        <v>581</v>
      </c>
    </row>
    <row r="16" spans="1:26" ht="14.7" thickBot="1" x14ac:dyDescent="0.6">
      <c r="A16" s="4">
        <v>4</v>
      </c>
      <c r="B16">
        <f t="shared" si="14"/>
        <v>8</v>
      </c>
      <c r="C16">
        <v>3.3940059296741709E-2</v>
      </c>
      <c r="D16">
        <f t="shared" si="2"/>
        <v>0</v>
      </c>
      <c r="E16">
        <f t="shared" si="3"/>
        <v>8</v>
      </c>
      <c r="F16">
        <f t="shared" si="4"/>
        <v>0</v>
      </c>
      <c r="G16">
        <f t="shared" si="5"/>
        <v>16</v>
      </c>
      <c r="H16">
        <f t="shared" si="6"/>
        <v>0</v>
      </c>
      <c r="I16">
        <f t="shared" si="1"/>
        <v>0</v>
      </c>
      <c r="J16" t="str">
        <f t="shared" si="7"/>
        <v/>
      </c>
      <c r="K16" t="str">
        <f t="shared" si="8"/>
        <v/>
      </c>
      <c r="L16">
        <v>0.36976480478178408</v>
      </c>
      <c r="M16">
        <f t="shared" si="9"/>
        <v>8</v>
      </c>
      <c r="N16">
        <f>IF(A16=3,8,0)+SUMIFS($I$13:I15,$K$13:K15,A16)</f>
        <v>0</v>
      </c>
      <c r="O16">
        <f t="shared" si="10"/>
        <v>8</v>
      </c>
      <c r="P16">
        <f t="shared" si="11"/>
        <v>0</v>
      </c>
      <c r="Q16">
        <f t="shared" si="12"/>
        <v>0</v>
      </c>
      <c r="R16" s="5">
        <f t="shared" si="13"/>
        <v>16</v>
      </c>
      <c r="U16" s="6">
        <f t="shared" si="0"/>
        <v>10</v>
      </c>
      <c r="V16" s="7" t="str">
        <f>IF($S$4="B",SUM(R67:R72),"")</f>
        <v/>
      </c>
      <c r="W16" s="8">
        <f>IF($S$4="D",SUM(R67:R72),"")</f>
        <v>562</v>
      </c>
    </row>
    <row r="17" spans="1:24" ht="14.7" thickBot="1" x14ac:dyDescent="0.6">
      <c r="A17" s="4">
        <f>A16+1</f>
        <v>5</v>
      </c>
      <c r="B17">
        <f t="shared" si="14"/>
        <v>8</v>
      </c>
      <c r="C17">
        <v>0.61094034715142043</v>
      </c>
      <c r="D17">
        <f t="shared" si="2"/>
        <v>2</v>
      </c>
      <c r="E17">
        <f t="shared" si="3"/>
        <v>6</v>
      </c>
      <c r="F17">
        <f t="shared" si="4"/>
        <v>0</v>
      </c>
      <c r="G17">
        <f t="shared" si="5"/>
        <v>12</v>
      </c>
      <c r="H17">
        <f t="shared" si="6"/>
        <v>0</v>
      </c>
      <c r="I17">
        <f t="shared" si="1"/>
        <v>0</v>
      </c>
      <c r="J17" t="str">
        <f t="shared" si="7"/>
        <v/>
      </c>
      <c r="K17" t="str">
        <f t="shared" si="8"/>
        <v/>
      </c>
      <c r="L17">
        <v>0.81907853351648263</v>
      </c>
      <c r="M17">
        <f t="shared" si="9"/>
        <v>6</v>
      </c>
      <c r="N17">
        <f>IF(A17=3,8,0)+SUMIFS($I$13:I16,$K$13:K16,A17)</f>
        <v>0</v>
      </c>
      <c r="O17">
        <f t="shared" si="10"/>
        <v>6</v>
      </c>
      <c r="P17">
        <f t="shared" si="11"/>
        <v>0</v>
      </c>
      <c r="Q17">
        <f t="shared" si="12"/>
        <v>0</v>
      </c>
      <c r="R17" s="5">
        <f t="shared" si="13"/>
        <v>12</v>
      </c>
      <c r="U17" s="6" t="s">
        <v>43</v>
      </c>
      <c r="V17" s="7" t="str">
        <f>IF($S$4="B",SUM(V7:V16)/10,"")</f>
        <v/>
      </c>
      <c r="W17" s="8">
        <f>IF($S$4="D",SUM(W7:W16)/10,"")</f>
        <v>547.45000000000005</v>
      </c>
    </row>
    <row r="18" spans="1:24" x14ac:dyDescent="0.55000000000000004">
      <c r="A18" s="4">
        <f t="shared" ref="A18:A72" si="15">A17+1</f>
        <v>6</v>
      </c>
      <c r="B18">
        <f t="shared" si="14"/>
        <v>6</v>
      </c>
      <c r="C18">
        <v>0.46417556059629661</v>
      </c>
      <c r="D18">
        <f t="shared" si="2"/>
        <v>2</v>
      </c>
      <c r="E18">
        <f t="shared" si="3"/>
        <v>4</v>
      </c>
      <c r="F18">
        <f t="shared" si="4"/>
        <v>0</v>
      </c>
      <c r="G18">
        <f t="shared" si="5"/>
        <v>8</v>
      </c>
      <c r="H18">
        <f t="shared" si="6"/>
        <v>0</v>
      </c>
      <c r="I18">
        <f t="shared" si="1"/>
        <v>8</v>
      </c>
      <c r="J18">
        <f t="shared" si="7"/>
        <v>2</v>
      </c>
      <c r="K18">
        <f t="shared" si="8"/>
        <v>8</v>
      </c>
      <c r="L18">
        <v>0.87097591938214169</v>
      </c>
      <c r="M18">
        <f t="shared" si="9"/>
        <v>4</v>
      </c>
      <c r="N18">
        <f>IF(A18=3,8,0)+SUMIFS($I$13:I17,$K$13:K17,A18)</f>
        <v>0</v>
      </c>
      <c r="O18">
        <f t="shared" si="10"/>
        <v>4</v>
      </c>
      <c r="P18">
        <f t="shared" si="11"/>
        <v>400</v>
      </c>
      <c r="Q18">
        <f t="shared" si="12"/>
        <v>10</v>
      </c>
      <c r="R18" s="5">
        <f t="shared" si="13"/>
        <v>418</v>
      </c>
    </row>
    <row r="19" spans="1:24" x14ac:dyDescent="0.55000000000000004">
      <c r="A19" s="4">
        <f t="shared" si="15"/>
        <v>7</v>
      </c>
      <c r="B19">
        <f t="shared" si="14"/>
        <v>4</v>
      </c>
      <c r="C19">
        <v>0.9336070633780057</v>
      </c>
      <c r="D19">
        <f t="shared" si="2"/>
        <v>4</v>
      </c>
      <c r="E19">
        <f t="shared" si="3"/>
        <v>0</v>
      </c>
      <c r="F19">
        <f t="shared" si="4"/>
        <v>0</v>
      </c>
      <c r="G19">
        <f t="shared" si="5"/>
        <v>0</v>
      </c>
      <c r="H19">
        <f t="shared" si="6"/>
        <v>0</v>
      </c>
      <c r="I19">
        <f t="shared" si="1"/>
        <v>0</v>
      </c>
      <c r="J19" t="str">
        <f t="shared" si="7"/>
        <v/>
      </c>
      <c r="K19" t="str">
        <f t="shared" si="8"/>
        <v/>
      </c>
      <c r="L19">
        <v>0.31061362834159745</v>
      </c>
      <c r="M19">
        <f t="shared" si="9"/>
        <v>0</v>
      </c>
      <c r="N19">
        <f>IF(A19=3,8,0)+SUMIFS($I$13:I18,$K$13:K18,A19)</f>
        <v>0</v>
      </c>
      <c r="O19">
        <f t="shared" si="10"/>
        <v>0</v>
      </c>
      <c r="P19">
        <f t="shared" si="11"/>
        <v>0</v>
      </c>
      <c r="Q19">
        <f t="shared" si="12"/>
        <v>0</v>
      </c>
      <c r="R19" s="5">
        <f t="shared" si="13"/>
        <v>0</v>
      </c>
    </row>
    <row r="20" spans="1:24" x14ac:dyDescent="0.55000000000000004">
      <c r="A20" s="4">
        <f t="shared" si="15"/>
        <v>8</v>
      </c>
      <c r="B20">
        <f t="shared" si="14"/>
        <v>0</v>
      </c>
      <c r="C20">
        <v>0.82918928416666049</v>
      </c>
      <c r="D20">
        <f t="shared" si="2"/>
        <v>3</v>
      </c>
      <c r="E20">
        <f t="shared" si="3"/>
        <v>0</v>
      </c>
      <c r="F20">
        <f t="shared" si="4"/>
        <v>3</v>
      </c>
      <c r="G20">
        <f t="shared" si="5"/>
        <v>0</v>
      </c>
      <c r="H20">
        <f t="shared" si="6"/>
        <v>4.5</v>
      </c>
      <c r="I20">
        <f t="shared" si="1"/>
        <v>0</v>
      </c>
      <c r="J20" t="str">
        <f t="shared" si="7"/>
        <v/>
      </c>
      <c r="K20" t="str">
        <f t="shared" si="8"/>
        <v/>
      </c>
      <c r="L20">
        <v>2.7957831181114501E-2</v>
      </c>
      <c r="M20">
        <f t="shared" si="9"/>
        <v>8</v>
      </c>
      <c r="N20">
        <f>IF(A20=3,8,0)+SUMIFS($I$13:I19,$K$13:K19,A20)</f>
        <v>8</v>
      </c>
      <c r="O20">
        <f t="shared" si="10"/>
        <v>8</v>
      </c>
      <c r="P20">
        <f t="shared" si="11"/>
        <v>0</v>
      </c>
      <c r="Q20">
        <f t="shared" si="12"/>
        <v>0</v>
      </c>
      <c r="R20" s="5">
        <f t="shared" si="13"/>
        <v>4.5</v>
      </c>
    </row>
    <row r="21" spans="1:24" x14ac:dyDescent="0.55000000000000004">
      <c r="A21" s="4">
        <f t="shared" si="15"/>
        <v>9</v>
      </c>
      <c r="B21">
        <f t="shared" si="14"/>
        <v>8</v>
      </c>
      <c r="C21">
        <v>0.36050898813657317</v>
      </c>
      <c r="D21">
        <f t="shared" si="2"/>
        <v>2</v>
      </c>
      <c r="E21">
        <f t="shared" si="3"/>
        <v>6</v>
      </c>
      <c r="F21">
        <f t="shared" si="4"/>
        <v>0</v>
      </c>
      <c r="G21">
        <f t="shared" si="5"/>
        <v>12</v>
      </c>
      <c r="H21">
        <f t="shared" si="6"/>
        <v>0</v>
      </c>
      <c r="I21">
        <f t="shared" si="1"/>
        <v>0</v>
      </c>
      <c r="J21" t="str">
        <f t="shared" si="7"/>
        <v/>
      </c>
      <c r="K21" t="str">
        <f t="shared" si="8"/>
        <v/>
      </c>
      <c r="L21">
        <v>0.50185192861996586</v>
      </c>
      <c r="M21">
        <f t="shared" si="9"/>
        <v>6</v>
      </c>
      <c r="N21">
        <f>IF(A21=3,8,0)+SUMIFS($I$13:I20,$K$13:K20,A21)</f>
        <v>0</v>
      </c>
      <c r="O21">
        <f t="shared" si="10"/>
        <v>6</v>
      </c>
      <c r="P21">
        <f t="shared" si="11"/>
        <v>0</v>
      </c>
      <c r="Q21">
        <f t="shared" si="12"/>
        <v>0</v>
      </c>
      <c r="R21" s="5">
        <f t="shared" si="13"/>
        <v>12</v>
      </c>
    </row>
    <row r="22" spans="1:24" ht="14.7" thickBot="1" x14ac:dyDescent="0.6">
      <c r="A22" s="4">
        <f t="shared" si="15"/>
        <v>10</v>
      </c>
      <c r="B22">
        <f t="shared" si="14"/>
        <v>6</v>
      </c>
      <c r="C22">
        <v>0.91572942610004648</v>
      </c>
      <c r="D22">
        <f t="shared" si="2"/>
        <v>4</v>
      </c>
      <c r="E22">
        <f t="shared" si="3"/>
        <v>2</v>
      </c>
      <c r="F22">
        <f t="shared" si="4"/>
        <v>0</v>
      </c>
      <c r="G22">
        <f t="shared" si="5"/>
        <v>4</v>
      </c>
      <c r="H22">
        <f t="shared" si="6"/>
        <v>0</v>
      </c>
      <c r="I22">
        <f t="shared" si="1"/>
        <v>0</v>
      </c>
      <c r="J22" t="str">
        <f t="shared" si="7"/>
        <v/>
      </c>
      <c r="K22" t="str">
        <f t="shared" si="8"/>
        <v/>
      </c>
      <c r="L22">
        <v>0.39935252324508286</v>
      </c>
      <c r="M22">
        <f t="shared" si="9"/>
        <v>2</v>
      </c>
      <c r="N22">
        <f>IF(A22=3,8,0)+SUMIFS($I$13:I21,$K$13:K21,A22)</f>
        <v>0</v>
      </c>
      <c r="O22">
        <f t="shared" si="10"/>
        <v>2</v>
      </c>
      <c r="P22">
        <f t="shared" si="11"/>
        <v>0</v>
      </c>
      <c r="Q22">
        <f t="shared" si="12"/>
        <v>0</v>
      </c>
      <c r="R22" s="5">
        <f t="shared" si="13"/>
        <v>4</v>
      </c>
    </row>
    <row r="23" spans="1:24" x14ac:dyDescent="0.55000000000000004">
      <c r="A23" s="4">
        <f t="shared" si="15"/>
        <v>11</v>
      </c>
      <c r="B23">
        <f t="shared" si="14"/>
        <v>2</v>
      </c>
      <c r="C23">
        <v>0.30611528261437426</v>
      </c>
      <c r="D23">
        <f t="shared" si="2"/>
        <v>1</v>
      </c>
      <c r="E23">
        <f t="shared" si="3"/>
        <v>1</v>
      </c>
      <c r="F23">
        <f t="shared" si="4"/>
        <v>0</v>
      </c>
      <c r="G23">
        <f t="shared" si="5"/>
        <v>2</v>
      </c>
      <c r="H23">
        <f t="shared" si="6"/>
        <v>0</v>
      </c>
      <c r="I23">
        <f t="shared" si="1"/>
        <v>0</v>
      </c>
      <c r="J23" t="str">
        <f t="shared" si="7"/>
        <v/>
      </c>
      <c r="K23" t="str">
        <f t="shared" si="8"/>
        <v/>
      </c>
      <c r="L23">
        <v>0.85035392112176655</v>
      </c>
      <c r="M23">
        <f t="shared" si="9"/>
        <v>1</v>
      </c>
      <c r="N23">
        <f>IF(A23=3,8,0)+SUMIFS($I$13:I22,$K$13:K22,A23)</f>
        <v>0</v>
      </c>
      <c r="O23">
        <f t="shared" si="10"/>
        <v>1</v>
      </c>
      <c r="P23">
        <f t="shared" si="11"/>
        <v>0</v>
      </c>
      <c r="Q23">
        <f t="shared" si="12"/>
        <v>0</v>
      </c>
      <c r="R23" s="5">
        <f t="shared" si="13"/>
        <v>2</v>
      </c>
      <c r="U23" s="9" t="s">
        <v>21</v>
      </c>
      <c r="V23" s="10" t="s">
        <v>22</v>
      </c>
      <c r="W23" s="10" t="s">
        <v>23</v>
      </c>
      <c r="X23" s="11" t="s">
        <v>37</v>
      </c>
    </row>
    <row r="24" spans="1:24" x14ac:dyDescent="0.55000000000000004">
      <c r="A24" s="4">
        <f t="shared" si="15"/>
        <v>12</v>
      </c>
      <c r="B24">
        <f t="shared" si="14"/>
        <v>1</v>
      </c>
      <c r="C24">
        <v>0.87150549303446367</v>
      </c>
      <c r="D24">
        <f t="shared" si="2"/>
        <v>3</v>
      </c>
      <c r="E24">
        <f t="shared" si="3"/>
        <v>0</v>
      </c>
      <c r="F24">
        <f t="shared" si="4"/>
        <v>2</v>
      </c>
      <c r="G24">
        <f t="shared" si="5"/>
        <v>0</v>
      </c>
      <c r="H24">
        <f t="shared" si="6"/>
        <v>3</v>
      </c>
      <c r="I24">
        <f t="shared" si="1"/>
        <v>12</v>
      </c>
      <c r="J24">
        <f t="shared" si="7"/>
        <v>1</v>
      </c>
      <c r="K24">
        <f t="shared" si="8"/>
        <v>13</v>
      </c>
      <c r="L24">
        <v>0.4051186932755908</v>
      </c>
      <c r="M24">
        <f t="shared" si="9"/>
        <v>0</v>
      </c>
      <c r="N24">
        <f>IF(A24=3,8,0)+SUMIFS($I$13:I23,$K$13:K23,A24)</f>
        <v>0</v>
      </c>
      <c r="O24">
        <f t="shared" si="10"/>
        <v>0</v>
      </c>
      <c r="P24">
        <f t="shared" si="11"/>
        <v>600</v>
      </c>
      <c r="Q24">
        <f t="shared" si="12"/>
        <v>10</v>
      </c>
      <c r="R24" s="5">
        <f t="shared" si="13"/>
        <v>613</v>
      </c>
      <c r="U24" s="4" t="s">
        <v>24</v>
      </c>
      <c r="V24">
        <v>11</v>
      </c>
      <c r="W24">
        <v>5</v>
      </c>
      <c r="X24" s="5">
        <v>433.75</v>
      </c>
    </row>
    <row r="25" spans="1:24" x14ac:dyDescent="0.55000000000000004">
      <c r="A25" s="4">
        <f t="shared" si="15"/>
        <v>13</v>
      </c>
      <c r="B25">
        <f t="shared" si="14"/>
        <v>0</v>
      </c>
      <c r="C25">
        <v>5.9481098169293034E-2</v>
      </c>
      <c r="D25">
        <f t="shared" si="2"/>
        <v>0</v>
      </c>
      <c r="E25">
        <f t="shared" si="3"/>
        <v>0</v>
      </c>
      <c r="F25">
        <f t="shared" si="4"/>
        <v>0</v>
      </c>
      <c r="G25">
        <f t="shared" si="5"/>
        <v>0</v>
      </c>
      <c r="H25">
        <f t="shared" si="6"/>
        <v>0</v>
      </c>
      <c r="I25">
        <f t="shared" si="1"/>
        <v>0</v>
      </c>
      <c r="J25" t="str">
        <f t="shared" si="7"/>
        <v/>
      </c>
      <c r="K25" t="str">
        <f t="shared" si="8"/>
        <v/>
      </c>
      <c r="L25">
        <v>0.18991977717475206</v>
      </c>
      <c r="M25">
        <f t="shared" si="9"/>
        <v>12</v>
      </c>
      <c r="N25">
        <f>IF(A25=3,8,0)+SUMIFS($I$13:I24,$K$13:K24,A25)</f>
        <v>12</v>
      </c>
      <c r="O25">
        <f t="shared" si="10"/>
        <v>12</v>
      </c>
      <c r="P25">
        <f t="shared" si="11"/>
        <v>0</v>
      </c>
      <c r="Q25">
        <f t="shared" si="12"/>
        <v>0</v>
      </c>
      <c r="R25" s="5">
        <f t="shared" si="13"/>
        <v>0</v>
      </c>
      <c r="U25" s="4" t="s">
        <v>25</v>
      </c>
      <c r="V25">
        <v>11</v>
      </c>
      <c r="W25">
        <v>6</v>
      </c>
      <c r="X25" s="5">
        <v>516.85</v>
      </c>
    </row>
    <row r="26" spans="1:24" x14ac:dyDescent="0.55000000000000004">
      <c r="A26" s="4">
        <f t="shared" si="15"/>
        <v>14</v>
      </c>
      <c r="B26">
        <f t="shared" si="14"/>
        <v>12</v>
      </c>
      <c r="C26">
        <v>0.99902859514527975</v>
      </c>
      <c r="D26">
        <f t="shared" si="2"/>
        <v>4</v>
      </c>
      <c r="E26">
        <f t="shared" si="3"/>
        <v>8</v>
      </c>
      <c r="F26">
        <f t="shared" si="4"/>
        <v>0</v>
      </c>
      <c r="G26">
        <f t="shared" si="5"/>
        <v>16</v>
      </c>
      <c r="H26">
        <f t="shared" si="6"/>
        <v>0</v>
      </c>
      <c r="I26">
        <f t="shared" si="1"/>
        <v>0</v>
      </c>
      <c r="J26" t="str">
        <f t="shared" si="7"/>
        <v/>
      </c>
      <c r="K26" t="str">
        <f t="shared" si="8"/>
        <v/>
      </c>
      <c r="L26">
        <v>0.15557740791039776</v>
      </c>
      <c r="M26">
        <f t="shared" si="9"/>
        <v>8</v>
      </c>
      <c r="N26">
        <f>IF(A26=3,8,0)+SUMIFS($I$13:I25,$K$13:K25,A26)</f>
        <v>0</v>
      </c>
      <c r="O26">
        <f t="shared" si="10"/>
        <v>8</v>
      </c>
      <c r="P26">
        <f t="shared" si="11"/>
        <v>0</v>
      </c>
      <c r="Q26">
        <f t="shared" si="12"/>
        <v>0</v>
      </c>
      <c r="R26" s="5">
        <f t="shared" si="13"/>
        <v>16</v>
      </c>
      <c r="U26" s="4" t="s">
        <v>26</v>
      </c>
      <c r="V26">
        <v>12</v>
      </c>
      <c r="W26">
        <v>5</v>
      </c>
      <c r="X26" s="5">
        <v>464.15</v>
      </c>
    </row>
    <row r="27" spans="1:24" ht="14.7" thickBot="1" x14ac:dyDescent="0.6">
      <c r="A27" s="4">
        <f t="shared" si="15"/>
        <v>15</v>
      </c>
      <c r="B27">
        <f t="shared" si="14"/>
        <v>8</v>
      </c>
      <c r="C27">
        <v>5.1575945870179551E-2</v>
      </c>
      <c r="D27">
        <f t="shared" si="2"/>
        <v>0</v>
      </c>
      <c r="E27">
        <f t="shared" si="3"/>
        <v>8</v>
      </c>
      <c r="F27">
        <f t="shared" si="4"/>
        <v>0</v>
      </c>
      <c r="G27">
        <f t="shared" si="5"/>
        <v>16</v>
      </c>
      <c r="H27">
        <f t="shared" si="6"/>
        <v>0</v>
      </c>
      <c r="I27">
        <f t="shared" si="1"/>
        <v>0</v>
      </c>
      <c r="J27" t="str">
        <f t="shared" si="7"/>
        <v/>
      </c>
      <c r="K27" t="str">
        <f t="shared" si="8"/>
        <v/>
      </c>
      <c r="L27">
        <v>0.80866762481608456</v>
      </c>
      <c r="M27">
        <f t="shared" si="9"/>
        <v>8</v>
      </c>
      <c r="N27">
        <f>IF(A27=3,8,0)+SUMIFS($I$13:I26,$K$13:K26,A27)</f>
        <v>0</v>
      </c>
      <c r="O27">
        <f t="shared" si="10"/>
        <v>8</v>
      </c>
      <c r="P27">
        <f t="shared" si="11"/>
        <v>0</v>
      </c>
      <c r="Q27">
        <f t="shared" si="12"/>
        <v>0</v>
      </c>
      <c r="R27" s="5">
        <f t="shared" si="13"/>
        <v>16</v>
      </c>
      <c r="U27" s="6" t="s">
        <v>27</v>
      </c>
      <c r="V27" s="7">
        <v>12</v>
      </c>
      <c r="W27" s="7">
        <v>6</v>
      </c>
      <c r="X27" s="8">
        <v>547.45000000000005</v>
      </c>
    </row>
    <row r="28" spans="1:24" x14ac:dyDescent="0.55000000000000004">
      <c r="A28" s="4">
        <f t="shared" si="15"/>
        <v>16</v>
      </c>
      <c r="B28">
        <f t="shared" si="14"/>
        <v>8</v>
      </c>
      <c r="C28">
        <v>0.334488487645629</v>
      </c>
      <c r="D28">
        <f t="shared" si="2"/>
        <v>1</v>
      </c>
      <c r="E28">
        <f t="shared" si="3"/>
        <v>7</v>
      </c>
      <c r="F28">
        <f t="shared" si="4"/>
        <v>0</v>
      </c>
      <c r="G28">
        <f t="shared" si="5"/>
        <v>14</v>
      </c>
      <c r="H28">
        <f t="shared" si="6"/>
        <v>0</v>
      </c>
      <c r="I28">
        <f t="shared" si="1"/>
        <v>0</v>
      </c>
      <c r="J28" t="str">
        <f t="shared" si="7"/>
        <v/>
      </c>
      <c r="K28" t="str">
        <f t="shared" si="8"/>
        <v/>
      </c>
      <c r="L28">
        <v>0.10718119620640543</v>
      </c>
      <c r="M28">
        <f t="shared" si="9"/>
        <v>7</v>
      </c>
      <c r="N28">
        <f>IF(A28=3,8,0)+SUMIFS($I$13:I27,$K$13:K27,A28)</f>
        <v>0</v>
      </c>
      <c r="O28">
        <f t="shared" si="10"/>
        <v>7</v>
      </c>
      <c r="P28">
        <f t="shared" si="11"/>
        <v>0</v>
      </c>
      <c r="Q28">
        <f t="shared" si="12"/>
        <v>0</v>
      </c>
      <c r="R28" s="5">
        <f t="shared" si="13"/>
        <v>14</v>
      </c>
    </row>
    <row r="29" spans="1:24" x14ac:dyDescent="0.55000000000000004">
      <c r="A29" s="4">
        <f t="shared" si="15"/>
        <v>17</v>
      </c>
      <c r="B29">
        <f t="shared" si="14"/>
        <v>7</v>
      </c>
      <c r="C29">
        <v>0.35733461686521584</v>
      </c>
      <c r="D29">
        <f t="shared" si="2"/>
        <v>2</v>
      </c>
      <c r="E29">
        <f t="shared" si="3"/>
        <v>5</v>
      </c>
      <c r="F29">
        <f t="shared" si="4"/>
        <v>0</v>
      </c>
      <c r="G29">
        <f t="shared" si="5"/>
        <v>10</v>
      </c>
      <c r="H29">
        <f t="shared" si="6"/>
        <v>0</v>
      </c>
      <c r="I29">
        <f t="shared" si="1"/>
        <v>0</v>
      </c>
      <c r="J29" t="str">
        <f t="shared" si="7"/>
        <v/>
      </c>
      <c r="K29" t="str">
        <f t="shared" si="8"/>
        <v/>
      </c>
      <c r="L29">
        <v>0.58462789969286655</v>
      </c>
      <c r="M29">
        <f t="shared" si="9"/>
        <v>5</v>
      </c>
      <c r="N29">
        <f>IF(A29=3,8,0)+SUMIFS($I$13:I28,$K$13:K28,A29)</f>
        <v>0</v>
      </c>
      <c r="O29">
        <f t="shared" si="10"/>
        <v>5</v>
      </c>
      <c r="P29">
        <f t="shared" si="11"/>
        <v>0</v>
      </c>
      <c r="Q29">
        <f t="shared" si="12"/>
        <v>0</v>
      </c>
      <c r="R29" s="5">
        <f t="shared" si="13"/>
        <v>10</v>
      </c>
    </row>
    <row r="30" spans="1:24" x14ac:dyDescent="0.55000000000000004">
      <c r="A30" s="4">
        <f t="shared" si="15"/>
        <v>18</v>
      </c>
      <c r="B30">
        <f t="shared" si="14"/>
        <v>5</v>
      </c>
      <c r="C30">
        <v>0.6415799646614867</v>
      </c>
      <c r="D30">
        <f t="shared" si="2"/>
        <v>2</v>
      </c>
      <c r="E30">
        <f t="shared" si="3"/>
        <v>3</v>
      </c>
      <c r="F30">
        <f t="shared" si="4"/>
        <v>0</v>
      </c>
      <c r="G30">
        <f t="shared" si="5"/>
        <v>6</v>
      </c>
      <c r="H30">
        <f t="shared" si="6"/>
        <v>0</v>
      </c>
      <c r="I30">
        <f t="shared" si="1"/>
        <v>9</v>
      </c>
      <c r="J30">
        <f t="shared" si="7"/>
        <v>1</v>
      </c>
      <c r="K30">
        <f t="shared" si="8"/>
        <v>19</v>
      </c>
      <c r="L30">
        <v>0.28021622435900817</v>
      </c>
      <c r="M30">
        <f t="shared" si="9"/>
        <v>3</v>
      </c>
      <c r="N30">
        <f>IF(A30=3,8,0)+SUMIFS($I$13:I29,$K$13:K29,A30)</f>
        <v>0</v>
      </c>
      <c r="O30">
        <f t="shared" si="10"/>
        <v>3</v>
      </c>
      <c r="P30">
        <f t="shared" si="11"/>
        <v>450</v>
      </c>
      <c r="Q30">
        <f t="shared" si="12"/>
        <v>10</v>
      </c>
      <c r="R30" s="5">
        <f t="shared" si="13"/>
        <v>466</v>
      </c>
    </row>
    <row r="31" spans="1:24" x14ac:dyDescent="0.55000000000000004">
      <c r="A31" s="4">
        <f t="shared" si="15"/>
        <v>19</v>
      </c>
      <c r="B31">
        <f t="shared" si="14"/>
        <v>3</v>
      </c>
      <c r="C31">
        <v>0.3105875244259777</v>
      </c>
      <c r="D31">
        <f t="shared" si="2"/>
        <v>1</v>
      </c>
      <c r="E31">
        <f t="shared" si="3"/>
        <v>2</v>
      </c>
      <c r="F31">
        <f t="shared" si="4"/>
        <v>0</v>
      </c>
      <c r="G31">
        <f t="shared" si="5"/>
        <v>4</v>
      </c>
      <c r="H31">
        <f t="shared" si="6"/>
        <v>0</v>
      </c>
      <c r="I31">
        <f t="shared" si="1"/>
        <v>0</v>
      </c>
      <c r="J31" t="str">
        <f t="shared" si="7"/>
        <v/>
      </c>
      <c r="K31" t="str">
        <f t="shared" si="8"/>
        <v/>
      </c>
      <c r="L31">
        <v>0.7361811715939256</v>
      </c>
      <c r="M31">
        <f t="shared" si="9"/>
        <v>11</v>
      </c>
      <c r="N31">
        <f>IF(A31=3,8,0)+SUMIFS($I$13:I30,$K$13:K30,A31)</f>
        <v>9</v>
      </c>
      <c r="O31">
        <f t="shared" si="10"/>
        <v>11</v>
      </c>
      <c r="P31">
        <f t="shared" si="11"/>
        <v>0</v>
      </c>
      <c r="Q31">
        <f t="shared" si="12"/>
        <v>0</v>
      </c>
      <c r="R31" s="5">
        <f t="shared" si="13"/>
        <v>4</v>
      </c>
    </row>
    <row r="32" spans="1:24" x14ac:dyDescent="0.55000000000000004">
      <c r="A32" s="4">
        <f t="shared" si="15"/>
        <v>20</v>
      </c>
      <c r="B32">
        <f t="shared" si="14"/>
        <v>11</v>
      </c>
      <c r="C32">
        <v>0.13746070350906625</v>
      </c>
      <c r="D32">
        <f t="shared" si="2"/>
        <v>1</v>
      </c>
      <c r="E32">
        <f t="shared" si="3"/>
        <v>10</v>
      </c>
      <c r="F32">
        <f t="shared" si="4"/>
        <v>0</v>
      </c>
      <c r="G32">
        <f t="shared" si="5"/>
        <v>20</v>
      </c>
      <c r="H32">
        <f t="shared" si="6"/>
        <v>0</v>
      </c>
      <c r="I32">
        <f t="shared" si="1"/>
        <v>0</v>
      </c>
      <c r="J32" t="str">
        <f t="shared" si="7"/>
        <v/>
      </c>
      <c r="K32" t="str">
        <f t="shared" si="8"/>
        <v/>
      </c>
      <c r="L32">
        <v>0.41666404945232305</v>
      </c>
      <c r="M32">
        <f t="shared" si="9"/>
        <v>10</v>
      </c>
      <c r="N32">
        <f>IF(A32=3,8,0)+SUMIFS($I$13:I31,$K$13:K31,A32)</f>
        <v>0</v>
      </c>
      <c r="O32">
        <f t="shared" si="10"/>
        <v>10</v>
      </c>
      <c r="P32">
        <f t="shared" si="11"/>
        <v>0</v>
      </c>
      <c r="Q32">
        <f t="shared" si="12"/>
        <v>0</v>
      </c>
      <c r="R32" s="5">
        <f t="shared" si="13"/>
        <v>20</v>
      </c>
    </row>
    <row r="33" spans="1:18" x14ac:dyDescent="0.55000000000000004">
      <c r="A33" s="4">
        <f t="shared" si="15"/>
        <v>21</v>
      </c>
      <c r="B33">
        <f t="shared" si="14"/>
        <v>10</v>
      </c>
      <c r="C33">
        <v>0.31109380780669238</v>
      </c>
      <c r="D33">
        <f t="shared" si="2"/>
        <v>1</v>
      </c>
      <c r="E33">
        <f t="shared" si="3"/>
        <v>9</v>
      </c>
      <c r="F33">
        <f t="shared" si="4"/>
        <v>0</v>
      </c>
      <c r="G33">
        <f t="shared" si="5"/>
        <v>18</v>
      </c>
      <c r="H33">
        <f t="shared" si="6"/>
        <v>0</v>
      </c>
      <c r="I33">
        <f t="shared" si="1"/>
        <v>0</v>
      </c>
      <c r="J33" t="str">
        <f t="shared" si="7"/>
        <v/>
      </c>
      <c r="K33" t="str">
        <f t="shared" si="8"/>
        <v/>
      </c>
      <c r="L33">
        <v>0.35206906676921257</v>
      </c>
      <c r="M33">
        <f t="shared" si="9"/>
        <v>9</v>
      </c>
      <c r="N33">
        <f>IF(A33=3,8,0)+SUMIFS($I$13:I32,$K$13:K32,A33)</f>
        <v>0</v>
      </c>
      <c r="O33">
        <f t="shared" si="10"/>
        <v>9</v>
      </c>
      <c r="P33">
        <f t="shared" si="11"/>
        <v>0</v>
      </c>
      <c r="Q33">
        <f t="shared" si="12"/>
        <v>0</v>
      </c>
      <c r="R33" s="5">
        <f t="shared" si="13"/>
        <v>18</v>
      </c>
    </row>
    <row r="34" spans="1:18" x14ac:dyDescent="0.55000000000000004">
      <c r="A34" s="4">
        <f t="shared" si="15"/>
        <v>22</v>
      </c>
      <c r="B34">
        <f t="shared" si="14"/>
        <v>9</v>
      </c>
      <c r="C34">
        <v>0.89326081007801761</v>
      </c>
      <c r="D34">
        <f t="shared" si="2"/>
        <v>3</v>
      </c>
      <c r="E34">
        <f t="shared" si="3"/>
        <v>6</v>
      </c>
      <c r="F34">
        <f t="shared" si="4"/>
        <v>0</v>
      </c>
      <c r="G34">
        <f t="shared" si="5"/>
        <v>12</v>
      </c>
      <c r="H34">
        <f t="shared" si="6"/>
        <v>0</v>
      </c>
      <c r="I34">
        <f t="shared" si="1"/>
        <v>0</v>
      </c>
      <c r="J34" t="str">
        <f t="shared" si="7"/>
        <v/>
      </c>
      <c r="K34" t="str">
        <f t="shared" si="8"/>
        <v/>
      </c>
      <c r="L34">
        <v>0.55298121064780525</v>
      </c>
      <c r="M34">
        <f t="shared" si="9"/>
        <v>6</v>
      </c>
      <c r="N34">
        <f>IF(A34=3,8,0)+SUMIFS($I$13:I33,$K$13:K33,A34)</f>
        <v>0</v>
      </c>
      <c r="O34">
        <f t="shared" si="10"/>
        <v>6</v>
      </c>
      <c r="P34">
        <f t="shared" si="11"/>
        <v>0</v>
      </c>
      <c r="Q34">
        <f t="shared" si="12"/>
        <v>0</v>
      </c>
      <c r="R34" s="5">
        <f t="shared" si="13"/>
        <v>12</v>
      </c>
    </row>
    <row r="35" spans="1:18" x14ac:dyDescent="0.55000000000000004">
      <c r="A35" s="4">
        <f t="shared" si="15"/>
        <v>23</v>
      </c>
      <c r="B35">
        <f t="shared" si="14"/>
        <v>6</v>
      </c>
      <c r="C35">
        <v>0.47298526076019609</v>
      </c>
      <c r="D35">
        <f t="shared" si="2"/>
        <v>2</v>
      </c>
      <c r="E35">
        <f t="shared" si="3"/>
        <v>4</v>
      </c>
      <c r="F35">
        <f t="shared" si="4"/>
        <v>0</v>
      </c>
      <c r="G35">
        <f t="shared" si="5"/>
        <v>8</v>
      </c>
      <c r="H35">
        <f t="shared" si="6"/>
        <v>0</v>
      </c>
      <c r="I35">
        <f t="shared" si="1"/>
        <v>0</v>
      </c>
      <c r="J35" t="str">
        <f t="shared" si="7"/>
        <v/>
      </c>
      <c r="K35" t="str">
        <f t="shared" si="8"/>
        <v/>
      </c>
      <c r="L35">
        <v>0.51926916364914111</v>
      </c>
      <c r="M35">
        <f t="shared" si="9"/>
        <v>4</v>
      </c>
      <c r="N35">
        <f>IF(A35=3,8,0)+SUMIFS($I$13:I34,$K$13:K34,A35)</f>
        <v>0</v>
      </c>
      <c r="O35">
        <f t="shared" si="10"/>
        <v>4</v>
      </c>
      <c r="P35">
        <f t="shared" si="11"/>
        <v>0</v>
      </c>
      <c r="Q35">
        <f t="shared" si="12"/>
        <v>0</v>
      </c>
      <c r="R35" s="5">
        <f t="shared" si="13"/>
        <v>8</v>
      </c>
    </row>
    <row r="36" spans="1:18" x14ac:dyDescent="0.55000000000000004">
      <c r="A36" s="4">
        <f t="shared" si="15"/>
        <v>24</v>
      </c>
      <c r="B36">
        <f t="shared" si="14"/>
        <v>4</v>
      </c>
      <c r="C36">
        <v>0.66002959289613194</v>
      </c>
      <c r="D36">
        <f t="shared" si="2"/>
        <v>2</v>
      </c>
      <c r="E36">
        <f t="shared" si="3"/>
        <v>2</v>
      </c>
      <c r="F36">
        <f t="shared" si="4"/>
        <v>0</v>
      </c>
      <c r="G36">
        <f t="shared" si="5"/>
        <v>4</v>
      </c>
      <c r="H36">
        <f t="shared" si="6"/>
        <v>0</v>
      </c>
      <c r="I36">
        <f t="shared" si="1"/>
        <v>10</v>
      </c>
      <c r="J36">
        <f t="shared" si="7"/>
        <v>1</v>
      </c>
      <c r="K36">
        <f t="shared" si="8"/>
        <v>25</v>
      </c>
      <c r="L36">
        <v>4.9023049496241367E-2</v>
      </c>
      <c r="M36">
        <f t="shared" si="9"/>
        <v>2</v>
      </c>
      <c r="N36">
        <f>IF(A36=3,8,0)+SUMIFS($I$13:I35,$K$13:K35,A36)</f>
        <v>0</v>
      </c>
      <c r="O36">
        <f t="shared" si="10"/>
        <v>2</v>
      </c>
      <c r="P36">
        <f t="shared" si="11"/>
        <v>500</v>
      </c>
      <c r="Q36">
        <f t="shared" si="12"/>
        <v>10</v>
      </c>
      <c r="R36" s="5">
        <f t="shared" si="13"/>
        <v>514</v>
      </c>
    </row>
    <row r="37" spans="1:18" x14ac:dyDescent="0.55000000000000004">
      <c r="A37" s="4">
        <f t="shared" si="15"/>
        <v>25</v>
      </c>
      <c r="B37">
        <f t="shared" si="14"/>
        <v>2</v>
      </c>
      <c r="C37">
        <v>0.45290393045234822</v>
      </c>
      <c r="D37">
        <f t="shared" si="2"/>
        <v>2</v>
      </c>
      <c r="E37">
        <f t="shared" si="3"/>
        <v>0</v>
      </c>
      <c r="F37">
        <f t="shared" si="4"/>
        <v>0</v>
      </c>
      <c r="G37">
        <f t="shared" si="5"/>
        <v>0</v>
      </c>
      <c r="H37">
        <f t="shared" si="6"/>
        <v>0</v>
      </c>
      <c r="I37">
        <f t="shared" si="1"/>
        <v>0</v>
      </c>
      <c r="J37" t="str">
        <f t="shared" si="7"/>
        <v/>
      </c>
      <c r="K37" t="str">
        <f t="shared" si="8"/>
        <v/>
      </c>
      <c r="L37">
        <v>0.8365521425681528</v>
      </c>
      <c r="M37">
        <f t="shared" si="9"/>
        <v>10</v>
      </c>
      <c r="N37">
        <f>IF(A37=3,8,0)+SUMIFS($I$13:I36,$K$13:K36,A37)</f>
        <v>10</v>
      </c>
      <c r="O37">
        <f t="shared" si="10"/>
        <v>10</v>
      </c>
      <c r="P37">
        <f t="shared" si="11"/>
        <v>0</v>
      </c>
      <c r="Q37">
        <f t="shared" si="12"/>
        <v>0</v>
      </c>
      <c r="R37" s="5">
        <f t="shared" si="13"/>
        <v>0</v>
      </c>
    </row>
    <row r="38" spans="1:18" x14ac:dyDescent="0.55000000000000004">
      <c r="A38" s="4">
        <f t="shared" si="15"/>
        <v>26</v>
      </c>
      <c r="B38">
        <f t="shared" si="14"/>
        <v>10</v>
      </c>
      <c r="C38">
        <v>0.96014493881882312</v>
      </c>
      <c r="D38">
        <f t="shared" si="2"/>
        <v>4</v>
      </c>
      <c r="E38">
        <f t="shared" si="3"/>
        <v>6</v>
      </c>
      <c r="F38">
        <f t="shared" si="4"/>
        <v>0</v>
      </c>
      <c r="G38">
        <f t="shared" si="5"/>
        <v>12</v>
      </c>
      <c r="H38">
        <f t="shared" si="6"/>
        <v>0</v>
      </c>
      <c r="I38">
        <f t="shared" si="1"/>
        <v>0</v>
      </c>
      <c r="J38" t="str">
        <f t="shared" si="7"/>
        <v/>
      </c>
      <c r="K38" t="str">
        <f t="shared" si="8"/>
        <v/>
      </c>
      <c r="L38">
        <v>0.32860437168179257</v>
      </c>
      <c r="M38">
        <f t="shared" si="9"/>
        <v>6</v>
      </c>
      <c r="N38">
        <f>IF(A38=3,8,0)+SUMIFS($I$13:I37,$K$13:K37,A38)</f>
        <v>0</v>
      </c>
      <c r="O38">
        <f t="shared" si="10"/>
        <v>6</v>
      </c>
      <c r="P38">
        <f t="shared" si="11"/>
        <v>0</v>
      </c>
      <c r="Q38">
        <f t="shared" si="12"/>
        <v>0</v>
      </c>
      <c r="R38" s="5">
        <f t="shared" si="13"/>
        <v>12</v>
      </c>
    </row>
    <row r="39" spans="1:18" x14ac:dyDescent="0.55000000000000004">
      <c r="A39" s="4">
        <f t="shared" si="15"/>
        <v>27</v>
      </c>
      <c r="B39">
        <f t="shared" si="14"/>
        <v>6</v>
      </c>
      <c r="C39">
        <v>6.7246340182561593E-2</v>
      </c>
      <c r="D39">
        <f t="shared" si="2"/>
        <v>0</v>
      </c>
      <c r="E39">
        <f t="shared" si="3"/>
        <v>6</v>
      </c>
      <c r="F39">
        <f t="shared" si="4"/>
        <v>0</v>
      </c>
      <c r="G39">
        <f t="shared" si="5"/>
        <v>12</v>
      </c>
      <c r="H39">
        <f t="shared" si="6"/>
        <v>0</v>
      </c>
      <c r="I39">
        <f t="shared" si="1"/>
        <v>0</v>
      </c>
      <c r="J39" t="str">
        <f t="shared" si="7"/>
        <v/>
      </c>
      <c r="K39" t="str">
        <f t="shared" si="8"/>
        <v/>
      </c>
      <c r="L39">
        <v>0.46756863423812356</v>
      </c>
      <c r="M39">
        <f t="shared" si="9"/>
        <v>6</v>
      </c>
      <c r="N39">
        <f>IF(A39=3,8,0)+SUMIFS($I$13:I38,$K$13:K38,A39)</f>
        <v>0</v>
      </c>
      <c r="O39">
        <f t="shared" si="10"/>
        <v>6</v>
      </c>
      <c r="P39">
        <f t="shared" si="11"/>
        <v>0</v>
      </c>
      <c r="Q39">
        <f t="shared" si="12"/>
        <v>0</v>
      </c>
      <c r="R39" s="5">
        <f t="shared" si="13"/>
        <v>12</v>
      </c>
    </row>
    <row r="40" spans="1:18" x14ac:dyDescent="0.55000000000000004">
      <c r="A40" s="4">
        <f t="shared" si="15"/>
        <v>28</v>
      </c>
      <c r="B40">
        <f t="shared" si="14"/>
        <v>6</v>
      </c>
      <c r="C40">
        <v>9.8713621517987793E-2</v>
      </c>
      <c r="D40">
        <f t="shared" si="2"/>
        <v>0</v>
      </c>
      <c r="E40">
        <f t="shared" si="3"/>
        <v>6</v>
      </c>
      <c r="F40">
        <f t="shared" si="4"/>
        <v>0</v>
      </c>
      <c r="G40">
        <f t="shared" si="5"/>
        <v>12</v>
      </c>
      <c r="H40">
        <f t="shared" si="6"/>
        <v>0</v>
      </c>
      <c r="I40">
        <f t="shared" si="1"/>
        <v>0</v>
      </c>
      <c r="J40" t="str">
        <f t="shared" si="7"/>
        <v/>
      </c>
      <c r="K40" t="str">
        <f t="shared" si="8"/>
        <v/>
      </c>
      <c r="L40">
        <v>0.44730492029374469</v>
      </c>
      <c r="M40">
        <f t="shared" si="9"/>
        <v>6</v>
      </c>
      <c r="N40">
        <f>IF(A40=3,8,0)+SUMIFS($I$13:I39,$K$13:K39,A40)</f>
        <v>0</v>
      </c>
      <c r="O40">
        <f t="shared" si="10"/>
        <v>6</v>
      </c>
      <c r="P40">
        <f t="shared" si="11"/>
        <v>0</v>
      </c>
      <c r="Q40">
        <f t="shared" si="12"/>
        <v>0</v>
      </c>
      <c r="R40" s="5">
        <f t="shared" si="13"/>
        <v>12</v>
      </c>
    </row>
    <row r="41" spans="1:18" x14ac:dyDescent="0.55000000000000004">
      <c r="A41" s="4">
        <f t="shared" si="15"/>
        <v>29</v>
      </c>
      <c r="B41">
        <f t="shared" si="14"/>
        <v>6</v>
      </c>
      <c r="C41">
        <v>0.83942756106747929</v>
      </c>
      <c r="D41">
        <f t="shared" si="2"/>
        <v>3</v>
      </c>
      <c r="E41">
        <f t="shared" si="3"/>
        <v>3</v>
      </c>
      <c r="F41">
        <f t="shared" si="4"/>
        <v>0</v>
      </c>
      <c r="G41">
        <f t="shared" si="5"/>
        <v>6</v>
      </c>
      <c r="H41">
        <f t="shared" si="6"/>
        <v>0</v>
      </c>
      <c r="I41">
        <f t="shared" si="1"/>
        <v>0</v>
      </c>
      <c r="J41" t="str">
        <f t="shared" si="7"/>
        <v/>
      </c>
      <c r="K41" t="str">
        <f t="shared" si="8"/>
        <v/>
      </c>
      <c r="L41">
        <v>0.93608720915819388</v>
      </c>
      <c r="M41">
        <f t="shared" si="9"/>
        <v>3</v>
      </c>
      <c r="N41">
        <f>IF(A41=3,8,0)+SUMIFS($I$13:I40,$K$13:K40,A41)</f>
        <v>0</v>
      </c>
      <c r="O41">
        <f t="shared" si="10"/>
        <v>3</v>
      </c>
      <c r="P41">
        <f t="shared" si="11"/>
        <v>0</v>
      </c>
      <c r="Q41">
        <f t="shared" si="12"/>
        <v>0</v>
      </c>
      <c r="R41" s="5">
        <f t="shared" si="13"/>
        <v>6</v>
      </c>
    </row>
    <row r="42" spans="1:18" x14ac:dyDescent="0.55000000000000004">
      <c r="A42" s="4">
        <f t="shared" si="15"/>
        <v>30</v>
      </c>
      <c r="B42">
        <f t="shared" si="14"/>
        <v>3</v>
      </c>
      <c r="C42">
        <v>0.32238260785496464</v>
      </c>
      <c r="D42">
        <f t="shared" si="2"/>
        <v>1</v>
      </c>
      <c r="E42">
        <f t="shared" si="3"/>
        <v>2</v>
      </c>
      <c r="F42">
        <f t="shared" si="4"/>
        <v>0</v>
      </c>
      <c r="G42">
        <f t="shared" si="5"/>
        <v>4</v>
      </c>
      <c r="H42">
        <f t="shared" si="6"/>
        <v>0</v>
      </c>
      <c r="I42">
        <f t="shared" si="1"/>
        <v>10</v>
      </c>
      <c r="J42">
        <f t="shared" si="7"/>
        <v>1</v>
      </c>
      <c r="K42">
        <f t="shared" si="8"/>
        <v>31</v>
      </c>
      <c r="L42">
        <v>0.2873425288884458</v>
      </c>
      <c r="M42">
        <f t="shared" si="9"/>
        <v>2</v>
      </c>
      <c r="N42">
        <f>IF(A42=3,8,0)+SUMIFS($I$13:I41,$K$13:K41,A42)</f>
        <v>0</v>
      </c>
      <c r="O42">
        <f t="shared" si="10"/>
        <v>2</v>
      </c>
      <c r="P42">
        <f t="shared" si="11"/>
        <v>500</v>
      </c>
      <c r="Q42">
        <f t="shared" si="12"/>
        <v>10</v>
      </c>
      <c r="R42" s="5">
        <f t="shared" si="13"/>
        <v>514</v>
      </c>
    </row>
    <row r="43" spans="1:18" x14ac:dyDescent="0.55000000000000004">
      <c r="A43" s="4">
        <f t="shared" si="15"/>
        <v>31</v>
      </c>
      <c r="B43">
        <f t="shared" si="14"/>
        <v>2</v>
      </c>
      <c r="C43">
        <v>0.65588053090253251</v>
      </c>
      <c r="D43">
        <f t="shared" si="2"/>
        <v>2</v>
      </c>
      <c r="E43">
        <f t="shared" si="3"/>
        <v>0</v>
      </c>
      <c r="F43">
        <f t="shared" si="4"/>
        <v>0</v>
      </c>
      <c r="G43">
        <f t="shared" si="5"/>
        <v>0</v>
      </c>
      <c r="H43">
        <f t="shared" si="6"/>
        <v>0</v>
      </c>
      <c r="I43">
        <f t="shared" si="1"/>
        <v>0</v>
      </c>
      <c r="J43" t="str">
        <f t="shared" si="7"/>
        <v/>
      </c>
      <c r="K43" t="str">
        <f t="shared" si="8"/>
        <v/>
      </c>
      <c r="L43">
        <v>0.71318297600704306</v>
      </c>
      <c r="M43">
        <f t="shared" si="9"/>
        <v>10</v>
      </c>
      <c r="N43">
        <f>IF(A43=3,8,0)+SUMIFS($I$13:I42,$K$13:K42,A43)</f>
        <v>10</v>
      </c>
      <c r="O43">
        <f t="shared" si="10"/>
        <v>10</v>
      </c>
      <c r="P43">
        <f t="shared" si="11"/>
        <v>0</v>
      </c>
      <c r="Q43">
        <f t="shared" si="12"/>
        <v>0</v>
      </c>
      <c r="R43" s="5">
        <f t="shared" si="13"/>
        <v>0</v>
      </c>
    </row>
    <row r="44" spans="1:18" x14ac:dyDescent="0.55000000000000004">
      <c r="A44" s="4">
        <f t="shared" si="15"/>
        <v>32</v>
      </c>
      <c r="B44">
        <f t="shared" si="14"/>
        <v>10</v>
      </c>
      <c r="C44">
        <v>0.3459344171381612</v>
      </c>
      <c r="D44">
        <f t="shared" si="2"/>
        <v>1</v>
      </c>
      <c r="E44">
        <f t="shared" si="3"/>
        <v>9</v>
      </c>
      <c r="F44">
        <f t="shared" si="4"/>
        <v>0</v>
      </c>
      <c r="G44">
        <f t="shared" si="5"/>
        <v>18</v>
      </c>
      <c r="H44">
        <f t="shared" si="6"/>
        <v>0</v>
      </c>
      <c r="I44">
        <f t="shared" si="1"/>
        <v>0</v>
      </c>
      <c r="J44" t="str">
        <f t="shared" si="7"/>
        <v/>
      </c>
      <c r="K44" t="str">
        <f t="shared" si="8"/>
        <v/>
      </c>
      <c r="L44">
        <v>0.47421811171423933</v>
      </c>
      <c r="M44">
        <f t="shared" si="9"/>
        <v>9</v>
      </c>
      <c r="N44">
        <f>IF(A44=3,8,0)+SUMIFS($I$13:I43,$K$13:K43,A44)</f>
        <v>0</v>
      </c>
      <c r="O44">
        <f t="shared" si="10"/>
        <v>9</v>
      </c>
      <c r="P44">
        <f t="shared" si="11"/>
        <v>0</v>
      </c>
      <c r="Q44">
        <f t="shared" si="12"/>
        <v>0</v>
      </c>
      <c r="R44" s="5">
        <f t="shared" si="13"/>
        <v>18</v>
      </c>
    </row>
    <row r="45" spans="1:18" x14ac:dyDescent="0.55000000000000004">
      <c r="A45" s="4">
        <f t="shared" si="15"/>
        <v>33</v>
      </c>
      <c r="B45">
        <f t="shared" si="14"/>
        <v>9</v>
      </c>
      <c r="C45">
        <v>0.20288524647543393</v>
      </c>
      <c r="D45">
        <f t="shared" si="2"/>
        <v>1</v>
      </c>
      <c r="E45">
        <f t="shared" si="3"/>
        <v>8</v>
      </c>
      <c r="F45">
        <f t="shared" si="4"/>
        <v>0</v>
      </c>
      <c r="G45">
        <f t="shared" si="5"/>
        <v>16</v>
      </c>
      <c r="H45">
        <f t="shared" si="6"/>
        <v>0</v>
      </c>
      <c r="I45">
        <f t="shared" si="1"/>
        <v>0</v>
      </c>
      <c r="J45" t="str">
        <f t="shared" si="7"/>
        <v/>
      </c>
      <c r="K45" t="str">
        <f t="shared" si="8"/>
        <v/>
      </c>
      <c r="L45">
        <v>0.18536760516478223</v>
      </c>
      <c r="M45">
        <f t="shared" si="9"/>
        <v>8</v>
      </c>
      <c r="N45">
        <f>IF(A45=3,8,0)+SUMIFS($I$13:I44,$K$13:K44,A45)</f>
        <v>0</v>
      </c>
      <c r="O45">
        <f t="shared" si="10"/>
        <v>8</v>
      </c>
      <c r="P45">
        <f t="shared" si="11"/>
        <v>0</v>
      </c>
      <c r="Q45">
        <f t="shared" si="12"/>
        <v>0</v>
      </c>
      <c r="R45" s="5">
        <f t="shared" si="13"/>
        <v>16</v>
      </c>
    </row>
    <row r="46" spans="1:18" x14ac:dyDescent="0.55000000000000004">
      <c r="A46" s="4">
        <f t="shared" si="15"/>
        <v>34</v>
      </c>
      <c r="B46">
        <f t="shared" si="14"/>
        <v>8</v>
      </c>
      <c r="C46">
        <v>3.2833441723985612E-2</v>
      </c>
      <c r="D46">
        <f t="shared" si="2"/>
        <v>0</v>
      </c>
      <c r="E46">
        <f t="shared" si="3"/>
        <v>8</v>
      </c>
      <c r="F46">
        <f t="shared" si="4"/>
        <v>0</v>
      </c>
      <c r="G46">
        <f t="shared" si="5"/>
        <v>16</v>
      </c>
      <c r="H46">
        <f t="shared" si="6"/>
        <v>0</v>
      </c>
      <c r="I46">
        <f t="shared" si="1"/>
        <v>0</v>
      </c>
      <c r="J46" t="str">
        <f t="shared" si="7"/>
        <v/>
      </c>
      <c r="K46" t="str">
        <f t="shared" si="8"/>
        <v/>
      </c>
      <c r="L46">
        <v>0.28988429261553095</v>
      </c>
      <c r="M46">
        <f t="shared" si="9"/>
        <v>8</v>
      </c>
      <c r="N46">
        <f>IF(A46=3,8,0)+SUMIFS($I$13:I45,$K$13:K45,A46)</f>
        <v>0</v>
      </c>
      <c r="O46">
        <f t="shared" si="10"/>
        <v>8</v>
      </c>
      <c r="P46">
        <f t="shared" si="11"/>
        <v>0</v>
      </c>
      <c r="Q46">
        <f t="shared" si="12"/>
        <v>0</v>
      </c>
      <c r="R46" s="5">
        <f t="shared" si="13"/>
        <v>16</v>
      </c>
    </row>
    <row r="47" spans="1:18" x14ac:dyDescent="0.55000000000000004">
      <c r="A47" s="4">
        <f t="shared" si="15"/>
        <v>35</v>
      </c>
      <c r="B47">
        <f t="shared" si="14"/>
        <v>8</v>
      </c>
      <c r="C47">
        <v>0.67452802563535363</v>
      </c>
      <c r="D47">
        <f t="shared" si="2"/>
        <v>2</v>
      </c>
      <c r="E47">
        <f t="shared" si="3"/>
        <v>6</v>
      </c>
      <c r="F47">
        <f t="shared" si="4"/>
        <v>0</v>
      </c>
      <c r="G47">
        <f t="shared" si="5"/>
        <v>12</v>
      </c>
      <c r="H47">
        <f t="shared" si="6"/>
        <v>0</v>
      </c>
      <c r="I47">
        <f t="shared" si="1"/>
        <v>0</v>
      </c>
      <c r="J47" t="str">
        <f t="shared" si="7"/>
        <v/>
      </c>
      <c r="K47" t="str">
        <f t="shared" si="8"/>
        <v/>
      </c>
      <c r="L47">
        <v>0.95616958246885675</v>
      </c>
      <c r="M47">
        <f t="shared" si="9"/>
        <v>6</v>
      </c>
      <c r="N47">
        <f>IF(A47=3,8,0)+SUMIFS($I$13:I46,$K$13:K46,A47)</f>
        <v>0</v>
      </c>
      <c r="O47">
        <f t="shared" si="10"/>
        <v>6</v>
      </c>
      <c r="P47">
        <f t="shared" si="11"/>
        <v>0</v>
      </c>
      <c r="Q47">
        <f t="shared" si="12"/>
        <v>0</v>
      </c>
      <c r="R47" s="5">
        <f t="shared" si="13"/>
        <v>12</v>
      </c>
    </row>
    <row r="48" spans="1:18" x14ac:dyDescent="0.55000000000000004">
      <c r="A48" s="4">
        <f t="shared" si="15"/>
        <v>36</v>
      </c>
      <c r="B48">
        <f t="shared" si="14"/>
        <v>6</v>
      </c>
      <c r="C48">
        <v>0.87243788821896162</v>
      </c>
      <c r="D48">
        <f t="shared" si="2"/>
        <v>3</v>
      </c>
      <c r="E48">
        <f t="shared" si="3"/>
        <v>3</v>
      </c>
      <c r="F48">
        <f t="shared" si="4"/>
        <v>0</v>
      </c>
      <c r="G48">
        <f t="shared" si="5"/>
        <v>6</v>
      </c>
      <c r="H48">
        <f t="shared" si="6"/>
        <v>0</v>
      </c>
      <c r="I48">
        <f t="shared" si="1"/>
        <v>9</v>
      </c>
      <c r="J48">
        <f t="shared" si="7"/>
        <v>1</v>
      </c>
      <c r="K48">
        <f t="shared" si="8"/>
        <v>37</v>
      </c>
      <c r="L48">
        <v>0.3477332907060483</v>
      </c>
      <c r="M48">
        <f t="shared" si="9"/>
        <v>3</v>
      </c>
      <c r="N48">
        <f>IF(A48=3,8,0)+SUMIFS($I$13:I47,$K$13:K47,A48)</f>
        <v>0</v>
      </c>
      <c r="O48">
        <f t="shared" si="10"/>
        <v>3</v>
      </c>
      <c r="P48">
        <f t="shared" si="11"/>
        <v>450</v>
      </c>
      <c r="Q48">
        <f t="shared" si="12"/>
        <v>10</v>
      </c>
      <c r="R48" s="5">
        <f t="shared" si="13"/>
        <v>466</v>
      </c>
    </row>
    <row r="49" spans="1:18" x14ac:dyDescent="0.55000000000000004">
      <c r="A49" s="4">
        <f t="shared" si="15"/>
        <v>37</v>
      </c>
      <c r="B49">
        <f t="shared" si="14"/>
        <v>3</v>
      </c>
      <c r="C49">
        <v>0.46678519841428256</v>
      </c>
      <c r="D49">
        <f t="shared" si="2"/>
        <v>2</v>
      </c>
      <c r="E49">
        <f t="shared" si="3"/>
        <v>1</v>
      </c>
      <c r="F49">
        <f t="shared" si="4"/>
        <v>0</v>
      </c>
      <c r="G49">
        <f t="shared" si="5"/>
        <v>2</v>
      </c>
      <c r="H49">
        <f t="shared" si="6"/>
        <v>0</v>
      </c>
      <c r="I49">
        <f t="shared" si="1"/>
        <v>0</v>
      </c>
      <c r="J49" t="str">
        <f t="shared" si="7"/>
        <v/>
      </c>
      <c r="K49" t="str">
        <f t="shared" si="8"/>
        <v/>
      </c>
      <c r="L49">
        <v>0.57896271373573094</v>
      </c>
      <c r="M49">
        <f t="shared" si="9"/>
        <v>10</v>
      </c>
      <c r="N49">
        <f>IF(A49=3,8,0)+SUMIFS($I$13:I48,$K$13:K48,A49)</f>
        <v>9</v>
      </c>
      <c r="O49">
        <f t="shared" si="10"/>
        <v>10</v>
      </c>
      <c r="P49">
        <f t="shared" si="11"/>
        <v>0</v>
      </c>
      <c r="Q49">
        <f t="shared" si="12"/>
        <v>0</v>
      </c>
      <c r="R49" s="5">
        <f t="shared" si="13"/>
        <v>2</v>
      </c>
    </row>
    <row r="50" spans="1:18" x14ac:dyDescent="0.55000000000000004">
      <c r="A50" s="4">
        <f t="shared" si="15"/>
        <v>38</v>
      </c>
      <c r="B50">
        <f t="shared" si="14"/>
        <v>10</v>
      </c>
      <c r="C50">
        <v>0.31264007891609813</v>
      </c>
      <c r="D50">
        <f t="shared" si="2"/>
        <v>1</v>
      </c>
      <c r="E50">
        <f t="shared" si="3"/>
        <v>9</v>
      </c>
      <c r="F50">
        <f t="shared" si="4"/>
        <v>0</v>
      </c>
      <c r="G50">
        <f t="shared" si="5"/>
        <v>18</v>
      </c>
      <c r="H50">
        <f t="shared" si="6"/>
        <v>0</v>
      </c>
      <c r="I50">
        <f t="shared" si="1"/>
        <v>0</v>
      </c>
      <c r="J50" t="str">
        <f t="shared" si="7"/>
        <v/>
      </c>
      <c r="K50" t="str">
        <f t="shared" si="8"/>
        <v/>
      </c>
      <c r="L50">
        <v>0.74196774387882514</v>
      </c>
      <c r="M50">
        <f t="shared" si="9"/>
        <v>9</v>
      </c>
      <c r="N50">
        <f>IF(A50=3,8,0)+SUMIFS($I$13:I49,$K$13:K49,A50)</f>
        <v>0</v>
      </c>
      <c r="O50">
        <f t="shared" si="10"/>
        <v>9</v>
      </c>
      <c r="P50">
        <f t="shared" si="11"/>
        <v>0</v>
      </c>
      <c r="Q50">
        <f t="shared" si="12"/>
        <v>0</v>
      </c>
      <c r="R50" s="5">
        <f t="shared" si="13"/>
        <v>18</v>
      </c>
    </row>
    <row r="51" spans="1:18" x14ac:dyDescent="0.55000000000000004">
      <c r="A51" s="4">
        <f t="shared" si="15"/>
        <v>39</v>
      </c>
      <c r="B51">
        <f t="shared" si="14"/>
        <v>9</v>
      </c>
      <c r="C51">
        <v>0.29873962497283935</v>
      </c>
      <c r="D51">
        <f t="shared" si="2"/>
        <v>1</v>
      </c>
      <c r="E51">
        <f t="shared" si="3"/>
        <v>8</v>
      </c>
      <c r="F51">
        <f t="shared" si="4"/>
        <v>0</v>
      </c>
      <c r="G51">
        <f t="shared" si="5"/>
        <v>16</v>
      </c>
      <c r="H51">
        <f t="shared" si="6"/>
        <v>0</v>
      </c>
      <c r="I51">
        <f t="shared" si="1"/>
        <v>0</v>
      </c>
      <c r="J51" t="str">
        <f t="shared" si="7"/>
        <v/>
      </c>
      <c r="K51" t="str">
        <f t="shared" si="8"/>
        <v/>
      </c>
      <c r="L51">
        <v>0.57216003929218751</v>
      </c>
      <c r="M51">
        <f t="shared" si="9"/>
        <v>8</v>
      </c>
      <c r="N51">
        <f>IF(A51=3,8,0)+SUMIFS($I$13:I50,$K$13:K50,A51)</f>
        <v>0</v>
      </c>
      <c r="O51">
        <f t="shared" si="10"/>
        <v>8</v>
      </c>
      <c r="P51">
        <f t="shared" si="11"/>
        <v>0</v>
      </c>
      <c r="Q51">
        <f t="shared" si="12"/>
        <v>0</v>
      </c>
      <c r="R51" s="5">
        <f t="shared" si="13"/>
        <v>16</v>
      </c>
    </row>
    <row r="52" spans="1:18" x14ac:dyDescent="0.55000000000000004">
      <c r="A52" s="4">
        <f t="shared" si="15"/>
        <v>40</v>
      </c>
      <c r="B52">
        <f t="shared" si="14"/>
        <v>8</v>
      </c>
      <c r="C52">
        <v>0.13654456521952452</v>
      </c>
      <c r="D52">
        <f t="shared" si="2"/>
        <v>1</v>
      </c>
      <c r="E52">
        <f t="shared" si="3"/>
        <v>7</v>
      </c>
      <c r="F52">
        <f t="shared" si="4"/>
        <v>0</v>
      </c>
      <c r="G52">
        <f t="shared" si="5"/>
        <v>14</v>
      </c>
      <c r="H52">
        <f t="shared" si="6"/>
        <v>0</v>
      </c>
      <c r="I52">
        <f t="shared" si="1"/>
        <v>0</v>
      </c>
      <c r="J52" t="str">
        <f t="shared" si="7"/>
        <v/>
      </c>
      <c r="K52" t="str">
        <f t="shared" si="8"/>
        <v/>
      </c>
      <c r="L52">
        <v>0.31969929479997417</v>
      </c>
      <c r="M52">
        <f t="shared" si="9"/>
        <v>7</v>
      </c>
      <c r="N52">
        <f>IF(A52=3,8,0)+SUMIFS($I$13:I51,$K$13:K51,A52)</f>
        <v>0</v>
      </c>
      <c r="O52">
        <f t="shared" si="10"/>
        <v>7</v>
      </c>
      <c r="P52">
        <f t="shared" si="11"/>
        <v>0</v>
      </c>
      <c r="Q52">
        <f t="shared" si="12"/>
        <v>0</v>
      </c>
      <c r="R52" s="5">
        <f t="shared" si="13"/>
        <v>14</v>
      </c>
    </row>
    <row r="53" spans="1:18" x14ac:dyDescent="0.55000000000000004">
      <c r="A53" s="4">
        <f t="shared" si="15"/>
        <v>41</v>
      </c>
      <c r="B53">
        <f t="shared" si="14"/>
        <v>7</v>
      </c>
      <c r="C53">
        <v>0.67712214945764826</v>
      </c>
      <c r="D53">
        <f t="shared" si="2"/>
        <v>2</v>
      </c>
      <c r="E53">
        <f t="shared" si="3"/>
        <v>5</v>
      </c>
      <c r="F53">
        <f t="shared" si="4"/>
        <v>0</v>
      </c>
      <c r="G53">
        <f t="shared" si="5"/>
        <v>10</v>
      </c>
      <c r="H53">
        <f t="shared" si="6"/>
        <v>0</v>
      </c>
      <c r="I53">
        <f t="shared" si="1"/>
        <v>0</v>
      </c>
      <c r="J53" t="str">
        <f t="shared" si="7"/>
        <v/>
      </c>
      <c r="K53" t="str">
        <f t="shared" si="8"/>
        <v/>
      </c>
      <c r="L53">
        <v>0.851422228128763</v>
      </c>
      <c r="M53">
        <f t="shared" si="9"/>
        <v>5</v>
      </c>
      <c r="N53">
        <f>IF(A53=3,8,0)+SUMIFS($I$13:I52,$K$13:K52,A53)</f>
        <v>0</v>
      </c>
      <c r="O53">
        <f t="shared" si="10"/>
        <v>5</v>
      </c>
      <c r="P53">
        <f t="shared" si="11"/>
        <v>0</v>
      </c>
      <c r="Q53">
        <f t="shared" si="12"/>
        <v>0</v>
      </c>
      <c r="R53" s="5">
        <f t="shared" si="13"/>
        <v>10</v>
      </c>
    </row>
    <row r="54" spans="1:18" x14ac:dyDescent="0.55000000000000004">
      <c r="A54" s="4">
        <f t="shared" si="15"/>
        <v>42</v>
      </c>
      <c r="B54">
        <f t="shared" si="14"/>
        <v>5</v>
      </c>
      <c r="C54">
        <v>4.3141217316852054E-2</v>
      </c>
      <c r="D54">
        <f t="shared" si="2"/>
        <v>0</v>
      </c>
      <c r="E54">
        <f t="shared" si="3"/>
        <v>5</v>
      </c>
      <c r="F54">
        <f t="shared" si="4"/>
        <v>0</v>
      </c>
      <c r="G54">
        <f t="shared" si="5"/>
        <v>10</v>
      </c>
      <c r="H54">
        <f t="shared" si="6"/>
        <v>0</v>
      </c>
      <c r="I54">
        <f t="shared" si="1"/>
        <v>7</v>
      </c>
      <c r="J54">
        <f t="shared" si="7"/>
        <v>3</v>
      </c>
      <c r="K54">
        <f t="shared" si="8"/>
        <v>45</v>
      </c>
      <c r="L54">
        <v>0.9192721064559003</v>
      </c>
      <c r="M54">
        <f t="shared" si="9"/>
        <v>5</v>
      </c>
      <c r="N54">
        <f>IF(A54=3,8,0)+SUMIFS($I$13:I53,$K$13:K53,A54)</f>
        <v>0</v>
      </c>
      <c r="O54">
        <f t="shared" si="10"/>
        <v>5</v>
      </c>
      <c r="P54">
        <f t="shared" si="11"/>
        <v>350</v>
      </c>
      <c r="Q54">
        <f t="shared" si="12"/>
        <v>10</v>
      </c>
      <c r="R54" s="5">
        <f t="shared" si="13"/>
        <v>370</v>
      </c>
    </row>
    <row r="55" spans="1:18" x14ac:dyDescent="0.55000000000000004">
      <c r="A55" s="4">
        <f t="shared" si="15"/>
        <v>43</v>
      </c>
      <c r="B55">
        <f t="shared" si="14"/>
        <v>5</v>
      </c>
      <c r="C55">
        <v>0.94173912731342924</v>
      </c>
      <c r="D55">
        <f t="shared" si="2"/>
        <v>4</v>
      </c>
      <c r="E55">
        <f t="shared" si="3"/>
        <v>1</v>
      </c>
      <c r="F55">
        <f t="shared" si="4"/>
        <v>0</v>
      </c>
      <c r="G55">
        <f t="shared" si="5"/>
        <v>2</v>
      </c>
      <c r="H55">
        <f t="shared" si="6"/>
        <v>0</v>
      </c>
      <c r="I55">
        <f t="shared" si="1"/>
        <v>0</v>
      </c>
      <c r="J55" t="str">
        <f t="shared" si="7"/>
        <v/>
      </c>
      <c r="K55" t="str">
        <f t="shared" si="8"/>
        <v/>
      </c>
      <c r="L55">
        <v>0.40321819076287702</v>
      </c>
      <c r="M55">
        <f t="shared" si="9"/>
        <v>1</v>
      </c>
      <c r="N55">
        <f>IF(A55=3,8,0)+SUMIFS($I$13:I54,$K$13:K54,A55)</f>
        <v>0</v>
      </c>
      <c r="O55">
        <f t="shared" si="10"/>
        <v>1</v>
      </c>
      <c r="P55">
        <f t="shared" si="11"/>
        <v>0</v>
      </c>
      <c r="Q55">
        <f t="shared" si="12"/>
        <v>0</v>
      </c>
      <c r="R55" s="5">
        <f t="shared" si="13"/>
        <v>2</v>
      </c>
    </row>
    <row r="56" spans="1:18" x14ac:dyDescent="0.55000000000000004">
      <c r="A56" s="4">
        <f t="shared" si="15"/>
        <v>44</v>
      </c>
      <c r="B56">
        <f t="shared" si="14"/>
        <v>1</v>
      </c>
      <c r="C56">
        <v>0.26329863244901608</v>
      </c>
      <c r="D56">
        <f t="shared" si="2"/>
        <v>1</v>
      </c>
      <c r="E56">
        <f t="shared" si="3"/>
        <v>0</v>
      </c>
      <c r="F56">
        <f t="shared" si="4"/>
        <v>0</v>
      </c>
      <c r="G56">
        <f t="shared" si="5"/>
        <v>0</v>
      </c>
      <c r="H56">
        <f t="shared" si="6"/>
        <v>0</v>
      </c>
      <c r="I56">
        <f t="shared" si="1"/>
        <v>0</v>
      </c>
      <c r="J56" t="str">
        <f t="shared" si="7"/>
        <v/>
      </c>
      <c r="K56" t="str">
        <f t="shared" si="8"/>
        <v/>
      </c>
      <c r="L56">
        <v>0.91619729804879868</v>
      </c>
      <c r="M56">
        <f t="shared" si="9"/>
        <v>0</v>
      </c>
      <c r="N56">
        <f>IF(A56=3,8,0)+SUMIFS($I$13:I55,$K$13:K55,A56)</f>
        <v>0</v>
      </c>
      <c r="O56">
        <f t="shared" si="10"/>
        <v>0</v>
      </c>
      <c r="P56">
        <f t="shared" si="11"/>
        <v>0</v>
      </c>
      <c r="Q56">
        <f t="shared" si="12"/>
        <v>0</v>
      </c>
      <c r="R56" s="5">
        <f t="shared" si="13"/>
        <v>0</v>
      </c>
    </row>
    <row r="57" spans="1:18" x14ac:dyDescent="0.55000000000000004">
      <c r="A57" s="4">
        <f t="shared" si="15"/>
        <v>45</v>
      </c>
      <c r="B57">
        <f t="shared" si="14"/>
        <v>0</v>
      </c>
      <c r="C57">
        <v>0.15729018893182078</v>
      </c>
      <c r="D57">
        <f t="shared" si="2"/>
        <v>1</v>
      </c>
      <c r="E57">
        <f t="shared" si="3"/>
        <v>0</v>
      </c>
      <c r="F57">
        <f t="shared" si="4"/>
        <v>1</v>
      </c>
      <c r="G57">
        <f t="shared" si="5"/>
        <v>0</v>
      </c>
      <c r="H57">
        <f t="shared" si="6"/>
        <v>1.5</v>
      </c>
      <c r="I57">
        <f t="shared" si="1"/>
        <v>0</v>
      </c>
      <c r="J57" t="str">
        <f t="shared" si="7"/>
        <v/>
      </c>
      <c r="K57" t="str">
        <f t="shared" si="8"/>
        <v/>
      </c>
      <c r="L57">
        <v>0.17907837332068277</v>
      </c>
      <c r="M57">
        <f t="shared" si="9"/>
        <v>7</v>
      </c>
      <c r="N57">
        <f>IF(A57=3,8,0)+SUMIFS($I$13:I56,$K$13:K56,A57)</f>
        <v>7</v>
      </c>
      <c r="O57">
        <f t="shared" si="10"/>
        <v>7</v>
      </c>
      <c r="P57">
        <f t="shared" si="11"/>
        <v>0</v>
      </c>
      <c r="Q57">
        <f t="shared" si="12"/>
        <v>0</v>
      </c>
      <c r="R57" s="5">
        <f t="shared" si="13"/>
        <v>1.5</v>
      </c>
    </row>
    <row r="58" spans="1:18" x14ac:dyDescent="0.55000000000000004">
      <c r="A58" s="4">
        <f t="shared" si="15"/>
        <v>46</v>
      </c>
      <c r="B58">
        <f t="shared" si="14"/>
        <v>7</v>
      </c>
      <c r="C58">
        <v>0.81406716899234666</v>
      </c>
      <c r="D58">
        <f t="shared" si="2"/>
        <v>3</v>
      </c>
      <c r="E58">
        <f t="shared" si="3"/>
        <v>4</v>
      </c>
      <c r="F58">
        <f t="shared" si="4"/>
        <v>0</v>
      </c>
      <c r="G58">
        <f t="shared" si="5"/>
        <v>8</v>
      </c>
      <c r="H58">
        <f t="shared" si="6"/>
        <v>0</v>
      </c>
      <c r="I58">
        <f t="shared" si="1"/>
        <v>0</v>
      </c>
      <c r="J58" t="str">
        <f t="shared" si="7"/>
        <v/>
      </c>
      <c r="K58" t="str">
        <f t="shared" si="8"/>
        <v/>
      </c>
      <c r="L58">
        <v>0.85168811732718797</v>
      </c>
      <c r="M58">
        <f t="shared" si="9"/>
        <v>4</v>
      </c>
      <c r="N58">
        <f>IF(A58=3,8,0)+SUMIFS($I$13:I57,$K$13:K57,A58)</f>
        <v>0</v>
      </c>
      <c r="O58">
        <f t="shared" si="10"/>
        <v>4</v>
      </c>
      <c r="P58">
        <f t="shared" si="11"/>
        <v>0</v>
      </c>
      <c r="Q58">
        <f t="shared" si="12"/>
        <v>0</v>
      </c>
      <c r="R58" s="5">
        <f t="shared" si="13"/>
        <v>8</v>
      </c>
    </row>
    <row r="59" spans="1:18" x14ac:dyDescent="0.55000000000000004">
      <c r="A59" s="4">
        <f t="shared" si="15"/>
        <v>47</v>
      </c>
      <c r="B59">
        <f t="shared" si="14"/>
        <v>4</v>
      </c>
      <c r="C59">
        <v>0.69490685972489874</v>
      </c>
      <c r="D59">
        <f t="shared" si="2"/>
        <v>2</v>
      </c>
      <c r="E59">
        <f t="shared" si="3"/>
        <v>2</v>
      </c>
      <c r="F59">
        <f t="shared" si="4"/>
        <v>0</v>
      </c>
      <c r="G59">
        <f t="shared" si="5"/>
        <v>4</v>
      </c>
      <c r="H59">
        <f t="shared" si="6"/>
        <v>0</v>
      </c>
      <c r="I59">
        <f t="shared" si="1"/>
        <v>0</v>
      </c>
      <c r="J59" t="str">
        <f t="shared" si="7"/>
        <v/>
      </c>
      <c r="K59" t="str">
        <f t="shared" si="8"/>
        <v/>
      </c>
      <c r="L59">
        <v>0.26060943274013681</v>
      </c>
      <c r="M59">
        <f t="shared" si="9"/>
        <v>2</v>
      </c>
      <c r="N59">
        <f>IF(A59=3,8,0)+SUMIFS($I$13:I58,$K$13:K58,A59)</f>
        <v>0</v>
      </c>
      <c r="O59">
        <f t="shared" si="10"/>
        <v>2</v>
      </c>
      <c r="P59">
        <f t="shared" si="11"/>
        <v>0</v>
      </c>
      <c r="Q59">
        <f t="shared" si="12"/>
        <v>0</v>
      </c>
      <c r="R59" s="5">
        <f t="shared" si="13"/>
        <v>4</v>
      </c>
    </row>
    <row r="60" spans="1:18" x14ac:dyDescent="0.55000000000000004">
      <c r="A60" s="4">
        <f t="shared" si="15"/>
        <v>48</v>
      </c>
      <c r="B60">
        <f t="shared" si="14"/>
        <v>2</v>
      </c>
      <c r="C60">
        <v>0.87586941442273403</v>
      </c>
      <c r="D60">
        <f t="shared" si="2"/>
        <v>3</v>
      </c>
      <c r="E60">
        <f t="shared" si="3"/>
        <v>0</v>
      </c>
      <c r="F60">
        <f t="shared" si="4"/>
        <v>1</v>
      </c>
      <c r="G60">
        <f t="shared" si="5"/>
        <v>0</v>
      </c>
      <c r="H60">
        <f t="shared" si="6"/>
        <v>1.5</v>
      </c>
      <c r="I60">
        <f t="shared" si="1"/>
        <v>12</v>
      </c>
      <c r="J60">
        <f t="shared" si="7"/>
        <v>1</v>
      </c>
      <c r="K60">
        <f t="shared" si="8"/>
        <v>49</v>
      </c>
      <c r="L60">
        <v>0.5115986528997758</v>
      </c>
      <c r="M60">
        <f t="shared" si="9"/>
        <v>0</v>
      </c>
      <c r="N60">
        <f>IF(A60=3,8,0)+SUMIFS($I$13:I59,$K$13:K59,A60)</f>
        <v>0</v>
      </c>
      <c r="O60">
        <f t="shared" si="10"/>
        <v>0</v>
      </c>
      <c r="P60">
        <f t="shared" si="11"/>
        <v>600</v>
      </c>
      <c r="Q60">
        <f t="shared" si="12"/>
        <v>10</v>
      </c>
      <c r="R60" s="5">
        <f t="shared" si="13"/>
        <v>611.5</v>
      </c>
    </row>
    <row r="61" spans="1:18" x14ac:dyDescent="0.55000000000000004">
      <c r="A61" s="4">
        <f t="shared" si="15"/>
        <v>49</v>
      </c>
      <c r="B61">
        <f t="shared" si="14"/>
        <v>0</v>
      </c>
      <c r="C61">
        <v>0.58201266526281903</v>
      </c>
      <c r="D61">
        <f t="shared" si="2"/>
        <v>2</v>
      </c>
      <c r="E61">
        <f t="shared" si="3"/>
        <v>0</v>
      </c>
      <c r="F61">
        <f t="shared" si="4"/>
        <v>2</v>
      </c>
      <c r="G61">
        <f t="shared" si="5"/>
        <v>0</v>
      </c>
      <c r="H61">
        <f t="shared" si="6"/>
        <v>3</v>
      </c>
      <c r="I61">
        <f t="shared" si="1"/>
        <v>0</v>
      </c>
      <c r="J61" t="str">
        <f t="shared" si="7"/>
        <v/>
      </c>
      <c r="K61" t="str">
        <f t="shared" si="8"/>
        <v/>
      </c>
      <c r="L61">
        <v>0.67316290073797613</v>
      </c>
      <c r="M61">
        <f t="shared" si="9"/>
        <v>12</v>
      </c>
      <c r="N61">
        <f>IF(A61=3,8,0)+SUMIFS($I$13:I60,$K$13:K60,A61)</f>
        <v>12</v>
      </c>
      <c r="O61">
        <f t="shared" si="10"/>
        <v>12</v>
      </c>
      <c r="P61">
        <f t="shared" si="11"/>
        <v>0</v>
      </c>
      <c r="Q61">
        <f t="shared" si="12"/>
        <v>0</v>
      </c>
      <c r="R61" s="5">
        <f t="shared" si="13"/>
        <v>3</v>
      </c>
    </row>
    <row r="62" spans="1:18" x14ac:dyDescent="0.55000000000000004">
      <c r="A62" s="4">
        <f t="shared" si="15"/>
        <v>50</v>
      </c>
      <c r="B62">
        <f t="shared" si="14"/>
        <v>12</v>
      </c>
      <c r="C62">
        <v>0.73734256370394413</v>
      </c>
      <c r="D62">
        <f t="shared" si="2"/>
        <v>3</v>
      </c>
      <c r="E62">
        <f t="shared" si="3"/>
        <v>9</v>
      </c>
      <c r="F62">
        <f t="shared" si="4"/>
        <v>0</v>
      </c>
      <c r="G62">
        <f t="shared" si="5"/>
        <v>18</v>
      </c>
      <c r="H62">
        <f t="shared" si="6"/>
        <v>0</v>
      </c>
      <c r="I62">
        <f t="shared" si="1"/>
        <v>0</v>
      </c>
      <c r="J62" t="str">
        <f t="shared" si="7"/>
        <v/>
      </c>
      <c r="K62" t="str">
        <f t="shared" si="8"/>
        <v/>
      </c>
      <c r="L62">
        <v>0.38241754241801384</v>
      </c>
      <c r="M62">
        <f t="shared" si="9"/>
        <v>9</v>
      </c>
      <c r="N62">
        <f>IF(A62=3,8,0)+SUMIFS($I$13:I61,$K$13:K61,A62)</f>
        <v>0</v>
      </c>
      <c r="O62">
        <f t="shared" si="10"/>
        <v>9</v>
      </c>
      <c r="P62">
        <f t="shared" si="11"/>
        <v>0</v>
      </c>
      <c r="Q62">
        <f t="shared" si="12"/>
        <v>0</v>
      </c>
      <c r="R62" s="5">
        <f t="shared" si="13"/>
        <v>18</v>
      </c>
    </row>
    <row r="63" spans="1:18" x14ac:dyDescent="0.55000000000000004">
      <c r="A63" s="4">
        <f t="shared" si="15"/>
        <v>51</v>
      </c>
      <c r="B63">
        <f t="shared" si="14"/>
        <v>9</v>
      </c>
      <c r="C63">
        <v>8.8016499389849456E-2</v>
      </c>
      <c r="D63">
        <f t="shared" si="2"/>
        <v>0</v>
      </c>
      <c r="E63">
        <f t="shared" si="3"/>
        <v>9</v>
      </c>
      <c r="F63">
        <f t="shared" si="4"/>
        <v>0</v>
      </c>
      <c r="G63">
        <f t="shared" si="5"/>
        <v>18</v>
      </c>
      <c r="H63">
        <f t="shared" si="6"/>
        <v>0</v>
      </c>
      <c r="I63">
        <f t="shared" si="1"/>
        <v>0</v>
      </c>
      <c r="J63" t="str">
        <f t="shared" si="7"/>
        <v/>
      </c>
      <c r="K63" t="str">
        <f t="shared" si="8"/>
        <v/>
      </c>
      <c r="L63">
        <v>0.71470350128759619</v>
      </c>
      <c r="M63">
        <f t="shared" si="9"/>
        <v>9</v>
      </c>
      <c r="N63">
        <f>IF(A63=3,8,0)+SUMIFS($I$13:I62,$K$13:K62,A63)</f>
        <v>0</v>
      </c>
      <c r="O63">
        <f t="shared" si="10"/>
        <v>9</v>
      </c>
      <c r="P63">
        <f t="shared" si="11"/>
        <v>0</v>
      </c>
      <c r="Q63">
        <f t="shared" si="12"/>
        <v>0</v>
      </c>
      <c r="R63" s="5">
        <f t="shared" si="13"/>
        <v>18</v>
      </c>
    </row>
    <row r="64" spans="1:18" x14ac:dyDescent="0.55000000000000004">
      <c r="A64" s="4">
        <f t="shared" si="15"/>
        <v>52</v>
      </c>
      <c r="B64">
        <f t="shared" si="14"/>
        <v>9</v>
      </c>
      <c r="C64">
        <v>3.2145748832640653E-2</v>
      </c>
      <c r="D64">
        <f t="shared" si="2"/>
        <v>0</v>
      </c>
      <c r="E64">
        <f t="shared" si="3"/>
        <v>9</v>
      </c>
      <c r="F64">
        <f t="shared" si="4"/>
        <v>0</v>
      </c>
      <c r="G64">
        <f t="shared" si="5"/>
        <v>18</v>
      </c>
      <c r="H64">
        <f t="shared" si="6"/>
        <v>0</v>
      </c>
      <c r="I64">
        <f t="shared" si="1"/>
        <v>0</v>
      </c>
      <c r="J64" t="str">
        <f t="shared" si="7"/>
        <v/>
      </c>
      <c r="K64" t="str">
        <f t="shared" si="8"/>
        <v/>
      </c>
      <c r="L64">
        <v>0.19425331465912365</v>
      </c>
      <c r="M64">
        <f t="shared" si="9"/>
        <v>9</v>
      </c>
      <c r="N64">
        <f>IF(A64=3,8,0)+SUMIFS($I$13:I63,$K$13:K63,A64)</f>
        <v>0</v>
      </c>
      <c r="O64">
        <f t="shared" si="10"/>
        <v>9</v>
      </c>
      <c r="P64">
        <f t="shared" si="11"/>
        <v>0</v>
      </c>
      <c r="Q64">
        <f t="shared" si="12"/>
        <v>0</v>
      </c>
      <c r="R64" s="5">
        <f t="shared" si="13"/>
        <v>18</v>
      </c>
    </row>
    <row r="65" spans="1:18" x14ac:dyDescent="0.55000000000000004">
      <c r="A65" s="4">
        <f t="shared" si="15"/>
        <v>53</v>
      </c>
      <c r="B65">
        <f t="shared" si="14"/>
        <v>9</v>
      </c>
      <c r="C65">
        <v>0.91858603986260989</v>
      </c>
      <c r="D65">
        <f t="shared" si="2"/>
        <v>4</v>
      </c>
      <c r="E65">
        <f t="shared" si="3"/>
        <v>5</v>
      </c>
      <c r="F65">
        <f t="shared" si="4"/>
        <v>0</v>
      </c>
      <c r="G65">
        <f t="shared" si="5"/>
        <v>10</v>
      </c>
      <c r="H65">
        <f t="shared" si="6"/>
        <v>0</v>
      </c>
      <c r="I65">
        <f t="shared" si="1"/>
        <v>0</v>
      </c>
      <c r="J65" t="str">
        <f t="shared" si="7"/>
        <v/>
      </c>
      <c r="K65" t="str">
        <f t="shared" si="8"/>
        <v/>
      </c>
      <c r="L65">
        <v>0.84882735901001449</v>
      </c>
      <c r="M65">
        <f t="shared" si="9"/>
        <v>5</v>
      </c>
      <c r="N65">
        <f>IF(A65=3,8,0)+SUMIFS($I$13:I64,$K$13:K64,A65)</f>
        <v>0</v>
      </c>
      <c r="O65">
        <f t="shared" si="10"/>
        <v>5</v>
      </c>
      <c r="P65">
        <f t="shared" si="11"/>
        <v>0</v>
      </c>
      <c r="Q65">
        <f t="shared" si="12"/>
        <v>0</v>
      </c>
      <c r="R65" s="5">
        <f t="shared" si="13"/>
        <v>10</v>
      </c>
    </row>
    <row r="66" spans="1:18" x14ac:dyDescent="0.55000000000000004">
      <c r="A66" s="4">
        <f t="shared" si="15"/>
        <v>54</v>
      </c>
      <c r="B66">
        <f t="shared" si="14"/>
        <v>5</v>
      </c>
      <c r="C66">
        <v>0.74641468775962161</v>
      </c>
      <c r="D66">
        <f t="shared" si="2"/>
        <v>3</v>
      </c>
      <c r="E66">
        <f t="shared" si="3"/>
        <v>2</v>
      </c>
      <c r="F66">
        <f t="shared" si="4"/>
        <v>0</v>
      </c>
      <c r="G66">
        <f t="shared" si="5"/>
        <v>4</v>
      </c>
      <c r="H66">
        <f t="shared" si="6"/>
        <v>0</v>
      </c>
      <c r="I66">
        <f t="shared" si="1"/>
        <v>10</v>
      </c>
      <c r="J66">
        <f t="shared" si="7"/>
        <v>1</v>
      </c>
      <c r="K66">
        <f t="shared" si="8"/>
        <v>55</v>
      </c>
      <c r="L66">
        <v>0.50162849247419783</v>
      </c>
      <c r="M66">
        <f t="shared" si="9"/>
        <v>2</v>
      </c>
      <c r="N66">
        <f>IF(A66=3,8,0)+SUMIFS($I$13:I65,$K$13:K65,A66)</f>
        <v>0</v>
      </c>
      <c r="O66">
        <f t="shared" si="10"/>
        <v>2</v>
      </c>
      <c r="P66">
        <f t="shared" si="11"/>
        <v>500</v>
      </c>
      <c r="Q66">
        <f t="shared" si="12"/>
        <v>10</v>
      </c>
      <c r="R66" s="5">
        <f t="shared" si="13"/>
        <v>514</v>
      </c>
    </row>
    <row r="67" spans="1:18" x14ac:dyDescent="0.55000000000000004">
      <c r="A67" s="4">
        <f t="shared" si="15"/>
        <v>55</v>
      </c>
      <c r="B67">
        <f t="shared" si="14"/>
        <v>2</v>
      </c>
      <c r="C67">
        <v>0.40578101643284847</v>
      </c>
      <c r="D67">
        <f t="shared" si="2"/>
        <v>2</v>
      </c>
      <c r="E67">
        <f t="shared" si="3"/>
        <v>0</v>
      </c>
      <c r="F67">
        <f t="shared" si="4"/>
        <v>0</v>
      </c>
      <c r="G67">
        <f t="shared" si="5"/>
        <v>0</v>
      </c>
      <c r="H67">
        <f t="shared" si="6"/>
        <v>0</v>
      </c>
      <c r="I67">
        <f t="shared" si="1"/>
        <v>0</v>
      </c>
      <c r="J67" t="str">
        <f t="shared" si="7"/>
        <v/>
      </c>
      <c r="K67" t="str">
        <f t="shared" si="8"/>
        <v/>
      </c>
      <c r="L67">
        <v>0.61158691952267352</v>
      </c>
      <c r="M67">
        <f t="shared" si="9"/>
        <v>10</v>
      </c>
      <c r="N67">
        <f>IF(A67=3,8,0)+SUMIFS($I$13:I66,$K$13:K66,A67)</f>
        <v>10</v>
      </c>
      <c r="O67">
        <f t="shared" si="10"/>
        <v>10</v>
      </c>
      <c r="P67">
        <f t="shared" si="11"/>
        <v>0</v>
      </c>
      <c r="Q67">
        <f t="shared" si="12"/>
        <v>0</v>
      </c>
      <c r="R67" s="5">
        <f t="shared" si="13"/>
        <v>0</v>
      </c>
    </row>
    <row r="68" spans="1:18" x14ac:dyDescent="0.55000000000000004">
      <c r="A68" s="4">
        <f t="shared" si="15"/>
        <v>56</v>
      </c>
      <c r="B68">
        <f t="shared" si="14"/>
        <v>10</v>
      </c>
      <c r="C68">
        <v>0.77307834173310597</v>
      </c>
      <c r="D68">
        <f t="shared" si="2"/>
        <v>3</v>
      </c>
      <c r="E68">
        <f t="shared" si="3"/>
        <v>7</v>
      </c>
      <c r="F68">
        <f t="shared" si="4"/>
        <v>0</v>
      </c>
      <c r="G68">
        <f t="shared" si="5"/>
        <v>14</v>
      </c>
      <c r="H68">
        <f t="shared" si="6"/>
        <v>0</v>
      </c>
      <c r="I68">
        <f t="shared" si="1"/>
        <v>0</v>
      </c>
      <c r="J68" t="str">
        <f t="shared" si="7"/>
        <v/>
      </c>
      <c r="K68" t="str">
        <f t="shared" si="8"/>
        <v/>
      </c>
      <c r="L68">
        <v>0.98611356507735104</v>
      </c>
      <c r="M68">
        <f t="shared" si="9"/>
        <v>7</v>
      </c>
      <c r="N68">
        <f>IF(A68=3,8,0)+SUMIFS($I$13:I67,$K$13:K67,A68)</f>
        <v>0</v>
      </c>
      <c r="O68">
        <f t="shared" si="10"/>
        <v>7</v>
      </c>
      <c r="P68">
        <f t="shared" si="11"/>
        <v>0</v>
      </c>
      <c r="Q68">
        <f t="shared" si="12"/>
        <v>0</v>
      </c>
      <c r="R68" s="5">
        <f t="shared" si="13"/>
        <v>14</v>
      </c>
    </row>
    <row r="69" spans="1:18" x14ac:dyDescent="0.55000000000000004">
      <c r="A69" s="4">
        <f t="shared" si="15"/>
        <v>57</v>
      </c>
      <c r="B69">
        <f t="shared" si="14"/>
        <v>7</v>
      </c>
      <c r="C69">
        <v>2.9281348537140262E-2</v>
      </c>
      <c r="D69">
        <f t="shared" si="2"/>
        <v>0</v>
      </c>
      <c r="E69">
        <f t="shared" si="3"/>
        <v>7</v>
      </c>
      <c r="F69">
        <f t="shared" si="4"/>
        <v>0</v>
      </c>
      <c r="G69">
        <f t="shared" si="5"/>
        <v>14</v>
      </c>
      <c r="H69">
        <f t="shared" si="6"/>
        <v>0</v>
      </c>
      <c r="I69">
        <f t="shared" si="1"/>
        <v>0</v>
      </c>
      <c r="J69" t="str">
        <f t="shared" si="7"/>
        <v/>
      </c>
      <c r="K69" t="str">
        <f t="shared" si="8"/>
        <v/>
      </c>
      <c r="L69">
        <v>0.97207571198155429</v>
      </c>
      <c r="M69">
        <f t="shared" si="9"/>
        <v>7</v>
      </c>
      <c r="N69">
        <f>IF(A69=3,8,0)+SUMIFS($I$13:I68,$K$13:K68,A69)</f>
        <v>0</v>
      </c>
      <c r="O69">
        <f t="shared" si="10"/>
        <v>7</v>
      </c>
      <c r="P69">
        <f t="shared" si="11"/>
        <v>0</v>
      </c>
      <c r="Q69">
        <f t="shared" si="12"/>
        <v>0</v>
      </c>
      <c r="R69" s="5">
        <f t="shared" si="13"/>
        <v>14</v>
      </c>
    </row>
    <row r="70" spans="1:18" x14ac:dyDescent="0.55000000000000004">
      <c r="A70" s="4">
        <f t="shared" si="15"/>
        <v>58</v>
      </c>
      <c r="B70">
        <f t="shared" si="14"/>
        <v>7</v>
      </c>
      <c r="C70">
        <v>0.1594101247226748</v>
      </c>
      <c r="D70">
        <f t="shared" si="2"/>
        <v>1</v>
      </c>
      <c r="E70">
        <f t="shared" si="3"/>
        <v>6</v>
      </c>
      <c r="F70">
        <f t="shared" si="4"/>
        <v>0</v>
      </c>
      <c r="G70">
        <f t="shared" si="5"/>
        <v>12</v>
      </c>
      <c r="H70">
        <f t="shared" si="6"/>
        <v>0</v>
      </c>
      <c r="I70">
        <f t="shared" si="1"/>
        <v>0</v>
      </c>
      <c r="J70" t="str">
        <f t="shared" si="7"/>
        <v/>
      </c>
      <c r="K70" t="str">
        <f t="shared" si="8"/>
        <v/>
      </c>
      <c r="L70">
        <v>0.9149469470603494</v>
      </c>
      <c r="M70">
        <f t="shared" si="9"/>
        <v>6</v>
      </c>
      <c r="N70">
        <f>IF(A70=3,8,0)+SUMIFS($I$13:I69,$K$13:K69,A70)</f>
        <v>0</v>
      </c>
      <c r="O70">
        <f t="shared" si="10"/>
        <v>6</v>
      </c>
      <c r="P70">
        <f t="shared" si="11"/>
        <v>0</v>
      </c>
      <c r="Q70">
        <f t="shared" si="12"/>
        <v>0</v>
      </c>
      <c r="R70" s="5">
        <f t="shared" si="13"/>
        <v>12</v>
      </c>
    </row>
    <row r="71" spans="1:18" x14ac:dyDescent="0.55000000000000004">
      <c r="A71" s="4">
        <f t="shared" si="15"/>
        <v>59</v>
      </c>
      <c r="B71">
        <f t="shared" si="14"/>
        <v>6</v>
      </c>
      <c r="C71">
        <v>0.51982233862721616</v>
      </c>
      <c r="D71">
        <f t="shared" si="2"/>
        <v>2</v>
      </c>
      <c r="E71">
        <f t="shared" si="3"/>
        <v>4</v>
      </c>
      <c r="F71">
        <f t="shared" si="4"/>
        <v>0</v>
      </c>
      <c r="G71">
        <f t="shared" si="5"/>
        <v>8</v>
      </c>
      <c r="H71">
        <f t="shared" si="6"/>
        <v>0</v>
      </c>
      <c r="I71">
        <f t="shared" si="1"/>
        <v>0</v>
      </c>
      <c r="J71" t="str">
        <f t="shared" si="7"/>
        <v/>
      </c>
      <c r="K71" t="str">
        <f t="shared" si="8"/>
        <v/>
      </c>
      <c r="L71">
        <v>0.25007066935227573</v>
      </c>
      <c r="M71">
        <f t="shared" si="9"/>
        <v>4</v>
      </c>
      <c r="N71">
        <f>IF(A71=3,8,0)+SUMIFS($I$13:I70,$K$13:K70,A71)</f>
        <v>0</v>
      </c>
      <c r="O71">
        <f t="shared" si="10"/>
        <v>4</v>
      </c>
      <c r="P71">
        <f t="shared" si="11"/>
        <v>0</v>
      </c>
      <c r="Q71">
        <f t="shared" si="12"/>
        <v>0</v>
      </c>
      <c r="R71" s="5">
        <f t="shared" si="13"/>
        <v>8</v>
      </c>
    </row>
    <row r="72" spans="1:18" ht="14.7" thickBot="1" x14ac:dyDescent="0.6">
      <c r="A72" s="6">
        <f t="shared" si="15"/>
        <v>60</v>
      </c>
      <c r="B72" s="7">
        <f t="shared" si="14"/>
        <v>4</v>
      </c>
      <c r="C72" s="7">
        <v>0.64626983615398415</v>
      </c>
      <c r="D72" s="7">
        <f t="shared" si="2"/>
        <v>2</v>
      </c>
      <c r="E72" s="7">
        <f t="shared" si="3"/>
        <v>2</v>
      </c>
      <c r="F72" s="7">
        <f t="shared" si="4"/>
        <v>0</v>
      </c>
      <c r="G72" s="7">
        <f t="shared" si="5"/>
        <v>4</v>
      </c>
      <c r="H72" s="7">
        <f t="shared" si="6"/>
        <v>0</v>
      </c>
      <c r="I72" s="7">
        <f t="shared" si="1"/>
        <v>10</v>
      </c>
      <c r="J72" s="7">
        <f t="shared" si="7"/>
        <v>1</v>
      </c>
      <c r="K72" s="7">
        <f t="shared" si="8"/>
        <v>61</v>
      </c>
      <c r="L72" s="7">
        <v>8.166557028030208E-2</v>
      </c>
      <c r="M72" s="7">
        <f t="shared" si="9"/>
        <v>2</v>
      </c>
      <c r="N72" s="7">
        <f>IF(A72=3,8,0)+SUMIFS($I$13:I71,$K$13:K71,A72)</f>
        <v>0</v>
      </c>
      <c r="O72" s="7">
        <f t="shared" si="10"/>
        <v>2</v>
      </c>
      <c r="P72" s="7">
        <f t="shared" si="11"/>
        <v>500</v>
      </c>
      <c r="Q72" s="7">
        <f t="shared" si="12"/>
        <v>10</v>
      </c>
      <c r="R72" s="8">
        <f t="shared" si="13"/>
        <v>514</v>
      </c>
    </row>
  </sheetData>
  <dataValidations count="1">
    <dataValidation type="list" allowBlank="1" showInputMessage="1" showErrorMessage="1" sqref="S4" xr:uid="{C1E5AE49-461A-404C-B4BB-DE1C9B9B04EF}">
      <formula1>$L$4:$L$5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516E-40D8-4696-970F-EAE612CCFC1C}">
  <dimension ref="A1:Z62"/>
  <sheetViews>
    <sheetView topLeftCell="G1" zoomScale="47" workbookViewId="0">
      <selection activeCell="P71" sqref="P71"/>
    </sheetView>
  </sheetViews>
  <sheetFormatPr defaultRowHeight="14.4" x14ac:dyDescent="0.55000000000000004"/>
  <cols>
    <col min="3" max="3" width="21.05078125" customWidth="1"/>
    <col min="4" max="4" width="20.5234375" customWidth="1"/>
    <col min="5" max="5" width="28.3671875" customWidth="1"/>
    <col min="6" max="6" width="21.3125" customWidth="1"/>
    <col min="8" max="8" width="13.578125" customWidth="1"/>
    <col min="9" max="9" width="21.26171875" customWidth="1"/>
    <col min="10" max="10" width="13.47265625" customWidth="1"/>
    <col min="11" max="11" width="14.5234375" customWidth="1"/>
    <col min="12" max="12" width="11.578125" customWidth="1"/>
    <col min="13" max="13" width="14.26171875" customWidth="1"/>
    <col min="14" max="14" width="16.5234375" customWidth="1"/>
    <col min="15" max="15" width="13.5234375" customWidth="1"/>
    <col min="16" max="16" width="17.41796875" customWidth="1"/>
    <col min="17" max="17" width="22.83984375" customWidth="1"/>
    <col min="18" max="18" width="20.9453125" customWidth="1"/>
    <col min="19" max="19" width="20.41796875" customWidth="1"/>
    <col min="20" max="20" width="16.68359375" customWidth="1"/>
    <col min="21" max="21" width="20.20703125" customWidth="1"/>
    <col min="22" max="22" width="18.68359375" customWidth="1"/>
    <col min="23" max="23" width="17.9453125" customWidth="1"/>
    <col min="24" max="24" width="20.9453125" customWidth="1"/>
    <col min="25" max="25" width="18.89453125" customWidth="1"/>
    <col min="26" max="26" width="24.1015625" customWidth="1"/>
  </cols>
  <sheetData>
    <row r="1" spans="1:26" ht="14.7" thickBot="1" x14ac:dyDescent="0.6"/>
    <row r="2" spans="1:26" ht="14.7" thickBot="1" x14ac:dyDescent="0.6">
      <c r="C2" s="2"/>
      <c r="D2" s="15" t="s">
        <v>0</v>
      </c>
      <c r="E2" s="3"/>
      <c r="G2" s="2"/>
      <c r="H2" s="15" t="s">
        <v>4</v>
      </c>
      <c r="I2" s="3"/>
      <c r="L2" s="21"/>
      <c r="M2" s="22" t="s">
        <v>20</v>
      </c>
      <c r="N2" s="23"/>
      <c r="O2" s="23"/>
      <c r="P2" s="24"/>
      <c r="R2" s="2"/>
      <c r="S2" s="16" t="s">
        <v>28</v>
      </c>
    </row>
    <row r="3" spans="1:26" x14ac:dyDescent="0.55000000000000004">
      <c r="C3" s="12" t="s">
        <v>1</v>
      </c>
      <c r="D3" s="14" t="s">
        <v>2</v>
      </c>
      <c r="E3" s="13" t="s">
        <v>3</v>
      </c>
      <c r="F3" s="1"/>
      <c r="G3" s="12" t="s">
        <v>5</v>
      </c>
      <c r="H3" s="14" t="s">
        <v>2</v>
      </c>
      <c r="I3" s="13" t="s">
        <v>3</v>
      </c>
      <c r="J3" s="1"/>
      <c r="K3" s="1"/>
      <c r="L3" s="12" t="s">
        <v>21</v>
      </c>
      <c r="M3" s="14" t="s">
        <v>22</v>
      </c>
      <c r="N3" s="14" t="s">
        <v>23</v>
      </c>
      <c r="O3" s="14" t="s">
        <v>35</v>
      </c>
      <c r="P3" s="13" t="s">
        <v>37</v>
      </c>
      <c r="R3" s="12" t="s">
        <v>29</v>
      </c>
      <c r="S3" s="13" t="s">
        <v>30</v>
      </c>
    </row>
    <row r="4" spans="1:26" x14ac:dyDescent="0.55000000000000004">
      <c r="C4" s="4">
        <v>0</v>
      </c>
      <c r="D4">
        <v>0.1</v>
      </c>
      <c r="E4" s="5">
        <f>SUM($D$4:D4)</f>
        <v>0.1</v>
      </c>
      <c r="G4" s="4">
        <v>1</v>
      </c>
      <c r="H4">
        <v>0.6</v>
      </c>
      <c r="I4" s="5">
        <f>SUM($H$4:H4)</f>
        <v>0.6</v>
      </c>
      <c r="L4" s="4" t="s">
        <v>24</v>
      </c>
      <c r="M4">
        <v>11</v>
      </c>
      <c r="N4">
        <v>5</v>
      </c>
      <c r="O4" t="str">
        <f>IF($S$4="A",SUM($R$13:$R$62),"")</f>
        <v/>
      </c>
      <c r="P4" s="5" t="str">
        <f>IF($S$4="A",SUM($R$13:$R$62)/10,"")</f>
        <v/>
      </c>
      <c r="R4" s="4" t="s">
        <v>31</v>
      </c>
      <c r="S4" s="5" t="s">
        <v>26</v>
      </c>
    </row>
    <row r="5" spans="1:26" ht="14.7" thickBot="1" x14ac:dyDescent="0.6">
      <c r="C5" s="4">
        <v>1</v>
      </c>
      <c r="D5">
        <v>0.25</v>
      </c>
      <c r="E5" s="5">
        <f>SUM($D$4:D5)</f>
        <v>0.35</v>
      </c>
      <c r="G5" s="4">
        <v>2</v>
      </c>
      <c r="H5">
        <v>0.3</v>
      </c>
      <c r="I5" s="5">
        <f>SUM($H$4:H5)</f>
        <v>0.89999999999999991</v>
      </c>
      <c r="L5" s="6" t="s">
        <v>26</v>
      </c>
      <c r="M5" s="7">
        <v>12</v>
      </c>
      <c r="N5" s="7">
        <v>5</v>
      </c>
      <c r="O5" s="7">
        <f>IF($S$4="C",SUM($R$13:$R$62),"")</f>
        <v>4641.5</v>
      </c>
      <c r="P5" s="8">
        <f>IF($S$4="C",SUM($R$13:$R$62)/10,"")</f>
        <v>464.15</v>
      </c>
      <c r="R5" s="4" t="s">
        <v>32</v>
      </c>
      <c r="S5" s="5">
        <f>_xlfn.XLOOKUP(S4,L4:L7,M4:M7)</f>
        <v>12</v>
      </c>
    </row>
    <row r="6" spans="1:26" ht="14.7" thickBot="1" x14ac:dyDescent="0.6">
      <c r="C6" s="4">
        <v>2</v>
      </c>
      <c r="D6">
        <v>0.35</v>
      </c>
      <c r="E6" s="5">
        <f>SUM($D$4:D6)</f>
        <v>0.7</v>
      </c>
      <c r="G6" s="6">
        <v>3</v>
      </c>
      <c r="H6" s="7">
        <v>0.1</v>
      </c>
      <c r="I6" s="8">
        <f>SUM($H$4:H6)</f>
        <v>0.99999999999999989</v>
      </c>
      <c r="R6" s="6" t="s">
        <v>33</v>
      </c>
      <c r="S6" s="8">
        <f>_xlfn.XLOOKUP(S4,L4:L7,N4:N7)</f>
        <v>5</v>
      </c>
      <c r="U6" s="25" t="s">
        <v>38</v>
      </c>
      <c r="V6" s="26" t="s">
        <v>39</v>
      </c>
      <c r="W6" s="27" t="s">
        <v>41</v>
      </c>
      <c r="Y6" s="30"/>
      <c r="Z6" s="30"/>
    </row>
    <row r="7" spans="1:26" x14ac:dyDescent="0.55000000000000004">
      <c r="C7" s="4">
        <v>3</v>
      </c>
      <c r="D7">
        <v>0.21</v>
      </c>
      <c r="E7" s="5">
        <f>SUM($D$4:D7)</f>
        <v>0.90999999999999992</v>
      </c>
      <c r="U7" s="4">
        <v>1</v>
      </c>
      <c r="V7" t="str">
        <f>IF($S$4="A",SUM(R13:R17),"")</f>
        <v/>
      </c>
      <c r="W7" s="5">
        <f>IF($S$4="C",SUM(R13:R17),"")</f>
        <v>349</v>
      </c>
    </row>
    <row r="8" spans="1:26" ht="14.7" thickBot="1" x14ac:dyDescent="0.6">
      <c r="C8" s="6">
        <v>4</v>
      </c>
      <c r="D8" s="7">
        <v>0.09</v>
      </c>
      <c r="E8" s="8">
        <f>SUM($D$4:D8)</f>
        <v>0.99999999999999989</v>
      </c>
      <c r="U8" s="4">
        <v>2</v>
      </c>
      <c r="V8" t="str">
        <f>IF($S$4="A",SUM(R18:R22),"")</f>
        <v/>
      </c>
      <c r="W8" s="5">
        <f>IF($S$4="C",SUM(R18:R22),"")</f>
        <v>630.5</v>
      </c>
    </row>
    <row r="9" spans="1:26" x14ac:dyDescent="0.55000000000000004">
      <c r="U9" s="4">
        <f t="shared" ref="U9:U16" si="0">U8+1</f>
        <v>3</v>
      </c>
      <c r="V9" t="str">
        <f>IF($S$4="A",SUM(R23:R27),"")</f>
        <v/>
      </c>
      <c r="W9" s="5">
        <f>IF($S$4="C",SUM(R23:R27),"")</f>
        <v>417.5</v>
      </c>
    </row>
    <row r="10" spans="1:26" x14ac:dyDescent="0.55000000000000004">
      <c r="F10" s="18" t="s">
        <v>6</v>
      </c>
      <c r="U10" s="4">
        <f t="shared" si="0"/>
        <v>4</v>
      </c>
      <c r="V10" t="str">
        <f>IF($S$4="A",SUM(R28:R32),"")</f>
        <v/>
      </c>
      <c r="W10" s="5">
        <f>IF($S$4="C",SUM(R28:R32),"")</f>
        <v>408</v>
      </c>
    </row>
    <row r="11" spans="1:26" ht="14.7" thickBot="1" x14ac:dyDescent="0.6">
      <c r="D11" s="17"/>
      <c r="U11" s="4">
        <f t="shared" si="0"/>
        <v>5</v>
      </c>
      <c r="V11" t="str">
        <f>IF($S$4="A",SUM(R33:R37),"")</f>
        <v/>
      </c>
      <c r="W11" s="5">
        <f>IF($S$4="C",SUM(R33:R37),"")</f>
        <v>558</v>
      </c>
    </row>
    <row r="12" spans="1:26" ht="29.1" thickBot="1" x14ac:dyDescent="0.6">
      <c r="A12" s="28" t="s">
        <v>7</v>
      </c>
      <c r="B12" s="29" t="s">
        <v>8</v>
      </c>
      <c r="C12" s="29" t="s">
        <v>9</v>
      </c>
      <c r="D12" s="29" t="s">
        <v>1</v>
      </c>
      <c r="E12" s="29" t="s">
        <v>10</v>
      </c>
      <c r="F12" s="29" t="s">
        <v>11</v>
      </c>
      <c r="G12" s="29" t="s">
        <v>12</v>
      </c>
      <c r="H12" s="29" t="s">
        <v>13</v>
      </c>
      <c r="I12" s="29" t="s">
        <v>14</v>
      </c>
      <c r="J12" s="29" t="s">
        <v>4</v>
      </c>
      <c r="K12" s="29" t="s">
        <v>15</v>
      </c>
      <c r="L12" s="29" t="s">
        <v>16</v>
      </c>
      <c r="M12" s="29" t="s">
        <v>17</v>
      </c>
      <c r="N12" s="29" t="s">
        <v>19</v>
      </c>
      <c r="O12" s="29" t="s">
        <v>18</v>
      </c>
      <c r="P12" s="29" t="s">
        <v>34</v>
      </c>
      <c r="Q12" s="26" t="s">
        <v>36</v>
      </c>
      <c r="R12" s="27" t="s">
        <v>35</v>
      </c>
      <c r="U12" s="4">
        <f t="shared" si="0"/>
        <v>6</v>
      </c>
      <c r="V12" t="str">
        <f>IF($S$4="A",SUM(R38:R42),"")</f>
        <v/>
      </c>
      <c r="W12" s="5">
        <f>IF($S$4="C",SUM(R38:R42),"")</f>
        <v>359</v>
      </c>
    </row>
    <row r="13" spans="1:26" x14ac:dyDescent="0.55000000000000004">
      <c r="A13" s="4">
        <v>1</v>
      </c>
      <c r="B13">
        <v>3</v>
      </c>
      <c r="C13">
        <v>0.39523366040954333</v>
      </c>
      <c r="D13">
        <f>_xlfn.XLOOKUP(C13, $E$4:$E$8, $C$4:$C$8,,1)</f>
        <v>2</v>
      </c>
      <c r="E13">
        <f>MAX(0, B13-D13)</f>
        <v>1</v>
      </c>
      <c r="F13">
        <f>MAX(0, D13 - B13)</f>
        <v>0</v>
      </c>
      <c r="G13">
        <f>E13 * 2</f>
        <v>2</v>
      </c>
      <c r="H13">
        <f>F13 * 1.5</f>
        <v>0</v>
      </c>
      <c r="I13">
        <f t="shared" ref="I13:I62" si="1">IF(MOD(A13,$S$6)=0,MAX(0,$S$5-O13),0)</f>
        <v>0</v>
      </c>
      <c r="J13" t="str">
        <f>IF(I13=0,"",_xlfn.XLOOKUP(L13,$I$4:$I$6,$G$4:$G$6,,1))</f>
        <v/>
      </c>
      <c r="K13" t="str">
        <f>IF(I13=0,"",A13+J13)</f>
        <v/>
      </c>
      <c r="L13">
        <v>0.17415019399941711</v>
      </c>
      <c r="M13">
        <f>E13+N13</f>
        <v>1</v>
      </c>
      <c r="N13">
        <f>IF(A13=3,8,0)+SUMIFS($I12:I$13,$K12:K$13,A13)</f>
        <v>0</v>
      </c>
      <c r="O13">
        <f>M13</f>
        <v>1</v>
      </c>
      <c r="P13">
        <f>I13*50</f>
        <v>0</v>
      </c>
      <c r="Q13">
        <f>IF(I13&gt;0,10,0)</f>
        <v>0</v>
      </c>
      <c r="R13" s="5">
        <f>G13+H13+P13+Q13</f>
        <v>2</v>
      </c>
      <c r="U13" s="4">
        <f t="shared" si="0"/>
        <v>7</v>
      </c>
      <c r="V13" t="str">
        <f>IF($S$4="A",SUM(R43:R47),"")</f>
        <v/>
      </c>
      <c r="W13" s="5">
        <f>IF($S$4="C",SUM(R43:R47),"")</f>
        <v>380</v>
      </c>
    </row>
    <row r="14" spans="1:26" x14ac:dyDescent="0.55000000000000004">
      <c r="A14" s="4">
        <v>2</v>
      </c>
      <c r="B14">
        <f>M13</f>
        <v>1</v>
      </c>
      <c r="C14">
        <v>0.96638252032503258</v>
      </c>
      <c r="D14">
        <f t="shared" ref="D14:D62" si="2">_xlfn.XLOOKUP(C14, $E$4:$E$8, $C$4:$C$8,,1)</f>
        <v>4</v>
      </c>
      <c r="E14">
        <f t="shared" ref="E14:E62" si="3">MAX(0, B14-D14)</f>
        <v>0</v>
      </c>
      <c r="F14">
        <f t="shared" ref="F14:F62" si="4">MAX(0, D14 - B14)</f>
        <v>3</v>
      </c>
      <c r="G14">
        <f t="shared" ref="G14:G62" si="5">E14 * 2</f>
        <v>0</v>
      </c>
      <c r="H14">
        <f t="shared" ref="H14:H62" si="6">F14 * 1.5</f>
        <v>4.5</v>
      </c>
      <c r="I14">
        <f t="shared" si="1"/>
        <v>0</v>
      </c>
      <c r="J14" t="str">
        <f t="shared" ref="J14:J62" si="7">IF(I14=0,"",_xlfn.XLOOKUP(L14,$I$4:$I$6,$G$4:$G$6,,1))</f>
        <v/>
      </c>
      <c r="K14" t="str">
        <f t="shared" ref="K14:K62" si="8">IF(I14=0,"",A14+J14)</f>
        <v/>
      </c>
      <c r="L14">
        <v>0.76591352999293116</v>
      </c>
      <c r="M14">
        <f t="shared" ref="M14:M62" si="9">E14+N14</f>
        <v>0</v>
      </c>
      <c r="N14">
        <f>IF(A14=3,8,0)+SUMIFS($I13:I$13,$K13:K$13,A14)</f>
        <v>0</v>
      </c>
      <c r="O14">
        <f t="shared" ref="O14:O62" si="10">M14</f>
        <v>0</v>
      </c>
      <c r="P14">
        <f t="shared" ref="P14:P62" si="11">I14*50</f>
        <v>0</v>
      </c>
      <c r="Q14">
        <f t="shared" ref="Q14:Q62" si="12">IF(I14&gt;0,10,0)</f>
        <v>0</v>
      </c>
      <c r="R14" s="5">
        <f t="shared" ref="R14:R62" si="13">G14+H14+P14+Q14</f>
        <v>4.5</v>
      </c>
      <c r="U14" s="4">
        <f t="shared" si="0"/>
        <v>8</v>
      </c>
      <c r="V14" t="str">
        <f>IF($S$4="A",SUM(R48:R52),"")</f>
        <v/>
      </c>
      <c r="W14" s="5">
        <f>IF($S$4="C",SUM(R48:R52),"")</f>
        <v>436</v>
      </c>
    </row>
    <row r="15" spans="1:26" x14ac:dyDescent="0.55000000000000004">
      <c r="A15" s="4">
        <v>3</v>
      </c>
      <c r="B15">
        <f t="shared" ref="B15:B62" si="14">M14</f>
        <v>0</v>
      </c>
      <c r="C15">
        <v>0.71232485581149263</v>
      </c>
      <c r="D15">
        <f t="shared" si="2"/>
        <v>3</v>
      </c>
      <c r="E15">
        <f t="shared" si="3"/>
        <v>0</v>
      </c>
      <c r="F15">
        <f t="shared" si="4"/>
        <v>3</v>
      </c>
      <c r="G15">
        <f t="shared" si="5"/>
        <v>0</v>
      </c>
      <c r="H15">
        <f t="shared" si="6"/>
        <v>4.5</v>
      </c>
      <c r="I15">
        <f t="shared" si="1"/>
        <v>0</v>
      </c>
      <c r="J15" t="str">
        <f t="shared" si="7"/>
        <v/>
      </c>
      <c r="K15" t="str">
        <f t="shared" si="8"/>
        <v/>
      </c>
      <c r="L15">
        <v>0.8547687621961062</v>
      </c>
      <c r="M15">
        <f t="shared" si="9"/>
        <v>8</v>
      </c>
      <c r="N15">
        <f>IF(A15=3,8,0)+SUMIFS($I$13:I14,$K$13:K14,A15)</f>
        <v>8</v>
      </c>
      <c r="O15">
        <f t="shared" si="10"/>
        <v>8</v>
      </c>
      <c r="P15">
        <f t="shared" si="11"/>
        <v>0</v>
      </c>
      <c r="Q15">
        <f t="shared" si="12"/>
        <v>0</v>
      </c>
      <c r="R15" s="5">
        <f t="shared" si="13"/>
        <v>4.5</v>
      </c>
      <c r="U15" s="4">
        <f t="shared" si="0"/>
        <v>9</v>
      </c>
      <c r="V15" t="str">
        <f>IF($S$4="A",SUM(R53:R57),"")</f>
        <v/>
      </c>
      <c r="W15" s="5">
        <f>IF($S$4="C",SUM(R53:R57),"")</f>
        <v>464</v>
      </c>
    </row>
    <row r="16" spans="1:26" ht="14.7" thickBot="1" x14ac:dyDescent="0.6">
      <c r="A16" s="4">
        <v>4</v>
      </c>
      <c r="B16">
        <f t="shared" si="14"/>
        <v>8</v>
      </c>
      <c r="C16">
        <v>3.3940059296741709E-2</v>
      </c>
      <c r="D16">
        <f t="shared" si="2"/>
        <v>0</v>
      </c>
      <c r="E16">
        <f t="shared" si="3"/>
        <v>8</v>
      </c>
      <c r="F16">
        <f t="shared" si="4"/>
        <v>0</v>
      </c>
      <c r="G16">
        <f t="shared" si="5"/>
        <v>16</v>
      </c>
      <c r="H16">
        <f t="shared" si="6"/>
        <v>0</v>
      </c>
      <c r="I16">
        <f t="shared" si="1"/>
        <v>0</v>
      </c>
      <c r="J16" t="str">
        <f t="shared" si="7"/>
        <v/>
      </c>
      <c r="K16" t="str">
        <f t="shared" si="8"/>
        <v/>
      </c>
      <c r="L16">
        <v>0.36976480478178408</v>
      </c>
      <c r="M16">
        <f t="shared" si="9"/>
        <v>8</v>
      </c>
      <c r="N16">
        <f>IF(A16=3,8,0)+SUMIFS($I$13:I15,$K$13:K15,A16)</f>
        <v>0</v>
      </c>
      <c r="O16">
        <f t="shared" si="10"/>
        <v>8</v>
      </c>
      <c r="P16">
        <f t="shared" si="11"/>
        <v>0</v>
      </c>
      <c r="Q16">
        <f t="shared" si="12"/>
        <v>0</v>
      </c>
      <c r="R16" s="5">
        <f t="shared" si="13"/>
        <v>16</v>
      </c>
      <c r="U16" s="4">
        <f t="shared" si="0"/>
        <v>10</v>
      </c>
      <c r="V16" t="str">
        <f>IF($S$4="A",SUM(R58:R62),"")</f>
        <v/>
      </c>
      <c r="W16" s="5">
        <f>IF($S$4="C",SUM(R58:R62),"")</f>
        <v>639.5</v>
      </c>
    </row>
    <row r="17" spans="1:23" ht="14.7" thickBot="1" x14ac:dyDescent="0.6">
      <c r="A17" s="4">
        <f>A16+1</f>
        <v>5</v>
      </c>
      <c r="B17">
        <f t="shared" si="14"/>
        <v>8</v>
      </c>
      <c r="C17">
        <v>0.61094034715142043</v>
      </c>
      <c r="D17">
        <f t="shared" si="2"/>
        <v>2</v>
      </c>
      <c r="E17">
        <f t="shared" si="3"/>
        <v>6</v>
      </c>
      <c r="F17">
        <f t="shared" si="4"/>
        <v>0</v>
      </c>
      <c r="G17">
        <f t="shared" si="5"/>
        <v>12</v>
      </c>
      <c r="H17">
        <f t="shared" si="6"/>
        <v>0</v>
      </c>
      <c r="I17">
        <f t="shared" si="1"/>
        <v>6</v>
      </c>
      <c r="J17">
        <f t="shared" si="7"/>
        <v>2</v>
      </c>
      <c r="K17">
        <f t="shared" si="8"/>
        <v>7</v>
      </c>
      <c r="L17">
        <v>0.81907853351648263</v>
      </c>
      <c r="M17">
        <f t="shared" si="9"/>
        <v>6</v>
      </c>
      <c r="N17">
        <f>IF(A17=3,8,0)+SUMIFS($I$13:I16,$K$13:K16,A17)</f>
        <v>0</v>
      </c>
      <c r="O17">
        <f t="shared" si="10"/>
        <v>6</v>
      </c>
      <c r="P17">
        <f t="shared" si="11"/>
        <v>300</v>
      </c>
      <c r="Q17">
        <f t="shared" si="12"/>
        <v>10</v>
      </c>
      <c r="R17" s="5">
        <f t="shared" si="13"/>
        <v>322</v>
      </c>
      <c r="U17" s="21" t="s">
        <v>43</v>
      </c>
      <c r="V17" s="23" t="str">
        <f>IF($S$4="A",SUM(V7:V16)/10,"")</f>
        <v/>
      </c>
      <c r="W17" s="24">
        <f>IF($S$4="C",SUM(W7:W16)/10,"")</f>
        <v>464.15</v>
      </c>
    </row>
    <row r="18" spans="1:23" x14ac:dyDescent="0.55000000000000004">
      <c r="A18" s="4">
        <f t="shared" ref="A18:A62" si="15">A17+1</f>
        <v>6</v>
      </c>
      <c r="B18">
        <f t="shared" si="14"/>
        <v>6</v>
      </c>
      <c r="C18">
        <v>0.46417556059629661</v>
      </c>
      <c r="D18">
        <f t="shared" si="2"/>
        <v>2</v>
      </c>
      <c r="E18">
        <f t="shared" si="3"/>
        <v>4</v>
      </c>
      <c r="F18">
        <f t="shared" si="4"/>
        <v>0</v>
      </c>
      <c r="G18">
        <f t="shared" si="5"/>
        <v>8</v>
      </c>
      <c r="H18">
        <f t="shared" si="6"/>
        <v>0</v>
      </c>
      <c r="I18">
        <f t="shared" si="1"/>
        <v>0</v>
      </c>
      <c r="J18" t="str">
        <f t="shared" si="7"/>
        <v/>
      </c>
      <c r="K18" t="str">
        <f t="shared" si="8"/>
        <v/>
      </c>
      <c r="L18">
        <v>0.87097591938214169</v>
      </c>
      <c r="M18">
        <f t="shared" si="9"/>
        <v>4</v>
      </c>
      <c r="N18">
        <f>IF(A18=3,8,0)+SUMIFS($I$13:I17,$K$13:K17,A18)</f>
        <v>0</v>
      </c>
      <c r="O18">
        <f t="shared" si="10"/>
        <v>4</v>
      </c>
      <c r="P18">
        <f t="shared" si="11"/>
        <v>0</v>
      </c>
      <c r="Q18">
        <f t="shared" si="12"/>
        <v>0</v>
      </c>
      <c r="R18" s="5">
        <f t="shared" si="13"/>
        <v>8</v>
      </c>
    </row>
    <row r="19" spans="1:23" x14ac:dyDescent="0.55000000000000004">
      <c r="A19" s="4">
        <f t="shared" si="15"/>
        <v>7</v>
      </c>
      <c r="B19">
        <f t="shared" si="14"/>
        <v>4</v>
      </c>
      <c r="C19">
        <v>0.9336070633780057</v>
      </c>
      <c r="D19">
        <f t="shared" si="2"/>
        <v>4</v>
      </c>
      <c r="E19">
        <f t="shared" si="3"/>
        <v>0</v>
      </c>
      <c r="F19">
        <f t="shared" si="4"/>
        <v>0</v>
      </c>
      <c r="G19">
        <f t="shared" si="5"/>
        <v>0</v>
      </c>
      <c r="H19">
        <f t="shared" si="6"/>
        <v>0</v>
      </c>
      <c r="I19">
        <f t="shared" si="1"/>
        <v>0</v>
      </c>
      <c r="J19" t="str">
        <f t="shared" si="7"/>
        <v/>
      </c>
      <c r="K19" t="str">
        <f t="shared" si="8"/>
        <v/>
      </c>
      <c r="L19">
        <v>0.31061362834159745</v>
      </c>
      <c r="M19">
        <f t="shared" si="9"/>
        <v>6</v>
      </c>
      <c r="N19">
        <f>IF(A19=3,8,0)+SUMIFS($I$13:I18,$K$13:K18,A19)</f>
        <v>6</v>
      </c>
      <c r="O19">
        <f t="shared" si="10"/>
        <v>6</v>
      </c>
      <c r="P19">
        <f t="shared" si="11"/>
        <v>0</v>
      </c>
      <c r="Q19">
        <f t="shared" si="12"/>
        <v>0</v>
      </c>
      <c r="R19" s="5">
        <f t="shared" si="13"/>
        <v>0</v>
      </c>
    </row>
    <row r="20" spans="1:23" x14ac:dyDescent="0.55000000000000004">
      <c r="A20" s="4">
        <f t="shared" si="15"/>
        <v>8</v>
      </c>
      <c r="B20">
        <f t="shared" si="14"/>
        <v>6</v>
      </c>
      <c r="C20">
        <v>0.82918928416666049</v>
      </c>
      <c r="D20">
        <f t="shared" si="2"/>
        <v>3</v>
      </c>
      <c r="E20">
        <f t="shared" si="3"/>
        <v>3</v>
      </c>
      <c r="F20">
        <f t="shared" si="4"/>
        <v>0</v>
      </c>
      <c r="G20">
        <f t="shared" si="5"/>
        <v>6</v>
      </c>
      <c r="H20">
        <f t="shared" si="6"/>
        <v>0</v>
      </c>
      <c r="I20">
        <f t="shared" si="1"/>
        <v>0</v>
      </c>
      <c r="J20" t="str">
        <f t="shared" si="7"/>
        <v/>
      </c>
      <c r="K20" t="str">
        <f t="shared" si="8"/>
        <v/>
      </c>
      <c r="L20">
        <v>2.7957831181114501E-2</v>
      </c>
      <c r="M20">
        <f t="shared" si="9"/>
        <v>3</v>
      </c>
      <c r="N20">
        <f>IF(A20=3,8,0)+SUMIFS($I$13:I19,$K$13:K19,A20)</f>
        <v>0</v>
      </c>
      <c r="O20">
        <f t="shared" si="10"/>
        <v>3</v>
      </c>
      <c r="P20">
        <f t="shared" si="11"/>
        <v>0</v>
      </c>
      <c r="Q20">
        <f t="shared" si="12"/>
        <v>0</v>
      </c>
      <c r="R20" s="5">
        <f t="shared" si="13"/>
        <v>6</v>
      </c>
    </row>
    <row r="21" spans="1:23" x14ac:dyDescent="0.55000000000000004">
      <c r="A21" s="4">
        <f t="shared" si="15"/>
        <v>9</v>
      </c>
      <c r="B21">
        <f t="shared" si="14"/>
        <v>3</v>
      </c>
      <c r="C21">
        <v>0.36050898813657317</v>
      </c>
      <c r="D21">
        <f t="shared" si="2"/>
        <v>2</v>
      </c>
      <c r="E21">
        <f t="shared" si="3"/>
        <v>1</v>
      </c>
      <c r="F21">
        <f t="shared" si="4"/>
        <v>0</v>
      </c>
      <c r="G21">
        <f t="shared" si="5"/>
        <v>2</v>
      </c>
      <c r="H21">
        <f t="shared" si="6"/>
        <v>0</v>
      </c>
      <c r="I21">
        <f t="shared" si="1"/>
        <v>0</v>
      </c>
      <c r="J21" t="str">
        <f t="shared" si="7"/>
        <v/>
      </c>
      <c r="K21" t="str">
        <f t="shared" si="8"/>
        <v/>
      </c>
      <c r="L21">
        <v>0.50185192861996586</v>
      </c>
      <c r="M21">
        <f t="shared" si="9"/>
        <v>1</v>
      </c>
      <c r="N21">
        <f>IF(A21=3,8,0)+SUMIFS($I$13:I20,$K$13:K20,A21)</f>
        <v>0</v>
      </c>
      <c r="O21">
        <f t="shared" si="10"/>
        <v>1</v>
      </c>
      <c r="P21">
        <f t="shared" si="11"/>
        <v>0</v>
      </c>
      <c r="Q21">
        <f t="shared" si="12"/>
        <v>0</v>
      </c>
      <c r="R21" s="5">
        <f t="shared" si="13"/>
        <v>2</v>
      </c>
    </row>
    <row r="22" spans="1:23" x14ac:dyDescent="0.55000000000000004">
      <c r="A22" s="4">
        <f t="shared" si="15"/>
        <v>10</v>
      </c>
      <c r="B22">
        <f t="shared" si="14"/>
        <v>1</v>
      </c>
      <c r="C22">
        <v>0.91572942610004648</v>
      </c>
      <c r="D22">
        <f t="shared" si="2"/>
        <v>4</v>
      </c>
      <c r="E22">
        <f t="shared" si="3"/>
        <v>0</v>
      </c>
      <c r="F22">
        <f t="shared" si="4"/>
        <v>3</v>
      </c>
      <c r="G22">
        <f t="shared" si="5"/>
        <v>0</v>
      </c>
      <c r="H22">
        <f t="shared" si="6"/>
        <v>4.5</v>
      </c>
      <c r="I22">
        <f t="shared" si="1"/>
        <v>12</v>
      </c>
      <c r="J22">
        <f t="shared" si="7"/>
        <v>1</v>
      </c>
      <c r="K22">
        <f t="shared" si="8"/>
        <v>11</v>
      </c>
      <c r="L22">
        <v>0.39935252324508286</v>
      </c>
      <c r="M22">
        <f t="shared" si="9"/>
        <v>0</v>
      </c>
      <c r="N22">
        <f>IF(A22=3,8,0)+SUMIFS($I$13:I21,$K$13:K21,A22)</f>
        <v>0</v>
      </c>
      <c r="O22">
        <f t="shared" si="10"/>
        <v>0</v>
      </c>
      <c r="P22">
        <f t="shared" si="11"/>
        <v>600</v>
      </c>
      <c r="Q22">
        <f t="shared" si="12"/>
        <v>10</v>
      </c>
      <c r="R22" s="5">
        <f t="shared" si="13"/>
        <v>614.5</v>
      </c>
    </row>
    <row r="23" spans="1:23" x14ac:dyDescent="0.55000000000000004">
      <c r="A23" s="4">
        <f t="shared" si="15"/>
        <v>11</v>
      </c>
      <c r="B23">
        <f t="shared" si="14"/>
        <v>0</v>
      </c>
      <c r="C23">
        <v>0.30611528261437426</v>
      </c>
      <c r="D23">
        <f t="shared" si="2"/>
        <v>1</v>
      </c>
      <c r="E23">
        <f t="shared" si="3"/>
        <v>0</v>
      </c>
      <c r="F23">
        <f t="shared" si="4"/>
        <v>1</v>
      </c>
      <c r="G23">
        <f t="shared" si="5"/>
        <v>0</v>
      </c>
      <c r="H23">
        <f t="shared" si="6"/>
        <v>1.5</v>
      </c>
      <c r="I23">
        <f t="shared" si="1"/>
        <v>0</v>
      </c>
      <c r="J23" t="str">
        <f t="shared" si="7"/>
        <v/>
      </c>
      <c r="K23" t="str">
        <f t="shared" si="8"/>
        <v/>
      </c>
      <c r="L23">
        <v>0.85035392112176655</v>
      </c>
      <c r="M23">
        <f t="shared" si="9"/>
        <v>12</v>
      </c>
      <c r="N23">
        <f>IF(A23=3,8,0)+SUMIFS($I$13:I22,$K$13:K22,A23)</f>
        <v>12</v>
      </c>
      <c r="O23">
        <f t="shared" si="10"/>
        <v>12</v>
      </c>
      <c r="P23">
        <f t="shared" si="11"/>
        <v>0</v>
      </c>
      <c r="Q23">
        <f t="shared" si="12"/>
        <v>0</v>
      </c>
      <c r="R23" s="5">
        <f t="shared" si="13"/>
        <v>1.5</v>
      </c>
    </row>
    <row r="24" spans="1:23" x14ac:dyDescent="0.55000000000000004">
      <c r="A24" s="4">
        <f t="shared" si="15"/>
        <v>12</v>
      </c>
      <c r="B24">
        <f t="shared" si="14"/>
        <v>12</v>
      </c>
      <c r="C24">
        <v>0.87150549303446367</v>
      </c>
      <c r="D24">
        <f t="shared" si="2"/>
        <v>3</v>
      </c>
      <c r="E24">
        <f t="shared" si="3"/>
        <v>9</v>
      </c>
      <c r="F24">
        <f t="shared" si="4"/>
        <v>0</v>
      </c>
      <c r="G24">
        <f t="shared" si="5"/>
        <v>18</v>
      </c>
      <c r="H24">
        <f t="shared" si="6"/>
        <v>0</v>
      </c>
      <c r="I24">
        <f t="shared" si="1"/>
        <v>0</v>
      </c>
      <c r="J24" t="str">
        <f t="shared" si="7"/>
        <v/>
      </c>
      <c r="K24" t="str">
        <f t="shared" si="8"/>
        <v/>
      </c>
      <c r="L24">
        <v>0.4051186932755908</v>
      </c>
      <c r="M24">
        <f t="shared" si="9"/>
        <v>9</v>
      </c>
      <c r="N24">
        <f>IF(A24=3,8,0)+SUMIFS($I$13:I23,$K$13:K23,A24)</f>
        <v>0</v>
      </c>
      <c r="O24">
        <f t="shared" si="10"/>
        <v>9</v>
      </c>
      <c r="P24">
        <f t="shared" si="11"/>
        <v>0</v>
      </c>
      <c r="Q24">
        <f t="shared" si="12"/>
        <v>0</v>
      </c>
      <c r="R24" s="5">
        <f t="shared" si="13"/>
        <v>18</v>
      </c>
    </row>
    <row r="25" spans="1:23" x14ac:dyDescent="0.55000000000000004">
      <c r="A25" s="4">
        <f t="shared" si="15"/>
        <v>13</v>
      </c>
      <c r="B25">
        <f t="shared" si="14"/>
        <v>9</v>
      </c>
      <c r="C25">
        <v>5.9481098169293034E-2</v>
      </c>
      <c r="D25">
        <f t="shared" si="2"/>
        <v>0</v>
      </c>
      <c r="E25">
        <f t="shared" si="3"/>
        <v>9</v>
      </c>
      <c r="F25">
        <f t="shared" si="4"/>
        <v>0</v>
      </c>
      <c r="G25">
        <f t="shared" si="5"/>
        <v>18</v>
      </c>
      <c r="H25">
        <f t="shared" si="6"/>
        <v>0</v>
      </c>
      <c r="I25">
        <f t="shared" si="1"/>
        <v>0</v>
      </c>
      <c r="J25" t="str">
        <f t="shared" si="7"/>
        <v/>
      </c>
      <c r="K25" t="str">
        <f t="shared" si="8"/>
        <v/>
      </c>
      <c r="L25">
        <v>0.18991977717475206</v>
      </c>
      <c r="M25">
        <f t="shared" si="9"/>
        <v>9</v>
      </c>
      <c r="N25">
        <f>IF(A25=3,8,0)+SUMIFS($I$13:I24,$K$13:K24,A25)</f>
        <v>0</v>
      </c>
      <c r="O25">
        <f t="shared" si="10"/>
        <v>9</v>
      </c>
      <c r="P25">
        <f t="shared" si="11"/>
        <v>0</v>
      </c>
      <c r="Q25">
        <f t="shared" si="12"/>
        <v>0</v>
      </c>
      <c r="R25" s="5">
        <f t="shared" si="13"/>
        <v>18</v>
      </c>
    </row>
    <row r="26" spans="1:23" x14ac:dyDescent="0.55000000000000004">
      <c r="A26" s="4">
        <f t="shared" si="15"/>
        <v>14</v>
      </c>
      <c r="B26">
        <f t="shared" si="14"/>
        <v>9</v>
      </c>
      <c r="C26">
        <v>0.99902859514527975</v>
      </c>
      <c r="D26">
        <f t="shared" si="2"/>
        <v>4</v>
      </c>
      <c r="E26">
        <f t="shared" si="3"/>
        <v>5</v>
      </c>
      <c r="F26">
        <f t="shared" si="4"/>
        <v>0</v>
      </c>
      <c r="G26">
        <f t="shared" si="5"/>
        <v>10</v>
      </c>
      <c r="H26">
        <f t="shared" si="6"/>
        <v>0</v>
      </c>
      <c r="I26">
        <f t="shared" si="1"/>
        <v>0</v>
      </c>
      <c r="J26" t="str">
        <f t="shared" si="7"/>
        <v/>
      </c>
      <c r="K26" t="str">
        <f t="shared" si="8"/>
        <v/>
      </c>
      <c r="L26">
        <v>0.15557740791039776</v>
      </c>
      <c r="M26">
        <f t="shared" si="9"/>
        <v>5</v>
      </c>
      <c r="N26">
        <f>IF(A26=3,8,0)+SUMIFS($I$13:I25,$K$13:K25,A26)</f>
        <v>0</v>
      </c>
      <c r="O26">
        <f t="shared" si="10"/>
        <v>5</v>
      </c>
      <c r="P26">
        <f t="shared" si="11"/>
        <v>0</v>
      </c>
      <c r="Q26">
        <f t="shared" si="12"/>
        <v>0</v>
      </c>
      <c r="R26" s="5">
        <f t="shared" si="13"/>
        <v>10</v>
      </c>
    </row>
    <row r="27" spans="1:23" x14ac:dyDescent="0.55000000000000004">
      <c r="A27" s="4">
        <f t="shared" si="15"/>
        <v>15</v>
      </c>
      <c r="B27">
        <f t="shared" si="14"/>
        <v>5</v>
      </c>
      <c r="C27">
        <v>5.1575945870179551E-2</v>
      </c>
      <c r="D27">
        <f t="shared" si="2"/>
        <v>0</v>
      </c>
      <c r="E27">
        <f t="shared" si="3"/>
        <v>5</v>
      </c>
      <c r="F27">
        <f t="shared" si="4"/>
        <v>0</v>
      </c>
      <c r="G27">
        <f t="shared" si="5"/>
        <v>10</v>
      </c>
      <c r="H27">
        <f t="shared" si="6"/>
        <v>0</v>
      </c>
      <c r="I27">
        <f t="shared" si="1"/>
        <v>7</v>
      </c>
      <c r="J27">
        <f t="shared" si="7"/>
        <v>2</v>
      </c>
      <c r="K27">
        <f t="shared" si="8"/>
        <v>17</v>
      </c>
      <c r="L27">
        <v>0.80866762481608456</v>
      </c>
      <c r="M27">
        <f t="shared" si="9"/>
        <v>5</v>
      </c>
      <c r="N27">
        <f>IF(A27=3,8,0)+SUMIFS($I$13:I26,$K$13:K26,A27)</f>
        <v>0</v>
      </c>
      <c r="O27">
        <f t="shared" si="10"/>
        <v>5</v>
      </c>
      <c r="P27">
        <f t="shared" si="11"/>
        <v>350</v>
      </c>
      <c r="Q27">
        <f t="shared" si="12"/>
        <v>10</v>
      </c>
      <c r="R27" s="5">
        <f t="shared" si="13"/>
        <v>370</v>
      </c>
    </row>
    <row r="28" spans="1:23" x14ac:dyDescent="0.55000000000000004">
      <c r="A28" s="4">
        <f t="shared" si="15"/>
        <v>16</v>
      </c>
      <c r="B28">
        <f t="shared" si="14"/>
        <v>5</v>
      </c>
      <c r="C28">
        <v>0.334488487645629</v>
      </c>
      <c r="D28">
        <f t="shared" si="2"/>
        <v>1</v>
      </c>
      <c r="E28">
        <f t="shared" si="3"/>
        <v>4</v>
      </c>
      <c r="F28">
        <f t="shared" si="4"/>
        <v>0</v>
      </c>
      <c r="G28">
        <f t="shared" si="5"/>
        <v>8</v>
      </c>
      <c r="H28">
        <f t="shared" si="6"/>
        <v>0</v>
      </c>
      <c r="I28">
        <f t="shared" si="1"/>
        <v>0</v>
      </c>
      <c r="J28" t="str">
        <f t="shared" si="7"/>
        <v/>
      </c>
      <c r="K28" t="str">
        <f t="shared" si="8"/>
        <v/>
      </c>
      <c r="L28">
        <v>0.10718119620640543</v>
      </c>
      <c r="M28">
        <f t="shared" si="9"/>
        <v>4</v>
      </c>
      <c r="N28">
        <f>IF(A28=3,8,0)+SUMIFS($I$13:I27,$K$13:K27,A28)</f>
        <v>0</v>
      </c>
      <c r="O28">
        <f t="shared" si="10"/>
        <v>4</v>
      </c>
      <c r="P28">
        <f t="shared" si="11"/>
        <v>0</v>
      </c>
      <c r="Q28">
        <f t="shared" si="12"/>
        <v>0</v>
      </c>
      <c r="R28" s="5">
        <f t="shared" si="13"/>
        <v>8</v>
      </c>
    </row>
    <row r="29" spans="1:23" x14ac:dyDescent="0.55000000000000004">
      <c r="A29" s="4">
        <f t="shared" si="15"/>
        <v>17</v>
      </c>
      <c r="B29">
        <f t="shared" si="14"/>
        <v>4</v>
      </c>
      <c r="C29">
        <v>0.35733461686521584</v>
      </c>
      <c r="D29">
        <f t="shared" si="2"/>
        <v>2</v>
      </c>
      <c r="E29">
        <f t="shared" si="3"/>
        <v>2</v>
      </c>
      <c r="F29">
        <f t="shared" si="4"/>
        <v>0</v>
      </c>
      <c r="G29">
        <f t="shared" si="5"/>
        <v>4</v>
      </c>
      <c r="H29">
        <f t="shared" si="6"/>
        <v>0</v>
      </c>
      <c r="I29">
        <f t="shared" si="1"/>
        <v>0</v>
      </c>
      <c r="J29" t="str">
        <f t="shared" si="7"/>
        <v/>
      </c>
      <c r="K29" t="str">
        <f t="shared" si="8"/>
        <v/>
      </c>
      <c r="L29">
        <v>0.58462789969286655</v>
      </c>
      <c r="M29">
        <f t="shared" si="9"/>
        <v>9</v>
      </c>
      <c r="N29">
        <f>IF(A29=3,8,0)+SUMIFS($I$13:I28,$K$13:K28,A29)</f>
        <v>7</v>
      </c>
      <c r="O29">
        <f t="shared" si="10"/>
        <v>9</v>
      </c>
      <c r="P29">
        <f t="shared" si="11"/>
        <v>0</v>
      </c>
      <c r="Q29">
        <f t="shared" si="12"/>
        <v>0</v>
      </c>
      <c r="R29" s="5">
        <f t="shared" si="13"/>
        <v>4</v>
      </c>
    </row>
    <row r="30" spans="1:23" x14ac:dyDescent="0.55000000000000004">
      <c r="A30" s="4">
        <f t="shared" si="15"/>
        <v>18</v>
      </c>
      <c r="B30">
        <f t="shared" si="14"/>
        <v>9</v>
      </c>
      <c r="C30">
        <v>0.6415799646614867</v>
      </c>
      <c r="D30">
        <f t="shared" si="2"/>
        <v>2</v>
      </c>
      <c r="E30">
        <f t="shared" si="3"/>
        <v>7</v>
      </c>
      <c r="F30">
        <f t="shared" si="4"/>
        <v>0</v>
      </c>
      <c r="G30">
        <f t="shared" si="5"/>
        <v>14</v>
      </c>
      <c r="H30">
        <f t="shared" si="6"/>
        <v>0</v>
      </c>
      <c r="I30">
        <f t="shared" si="1"/>
        <v>0</v>
      </c>
      <c r="J30" t="str">
        <f t="shared" si="7"/>
        <v/>
      </c>
      <c r="K30" t="str">
        <f t="shared" si="8"/>
        <v/>
      </c>
      <c r="L30">
        <v>0.28021622435900817</v>
      </c>
      <c r="M30">
        <f t="shared" si="9"/>
        <v>7</v>
      </c>
      <c r="N30">
        <f>IF(A30=3,8,0)+SUMIFS($I$13:I29,$K$13:K29,A30)</f>
        <v>0</v>
      </c>
      <c r="O30">
        <f t="shared" si="10"/>
        <v>7</v>
      </c>
      <c r="P30">
        <f t="shared" si="11"/>
        <v>0</v>
      </c>
      <c r="Q30">
        <f t="shared" si="12"/>
        <v>0</v>
      </c>
      <c r="R30" s="5">
        <f t="shared" si="13"/>
        <v>14</v>
      </c>
    </row>
    <row r="31" spans="1:23" x14ac:dyDescent="0.55000000000000004">
      <c r="A31" s="4">
        <f t="shared" si="15"/>
        <v>19</v>
      </c>
      <c r="B31">
        <f t="shared" si="14"/>
        <v>7</v>
      </c>
      <c r="C31">
        <v>0.3105875244259777</v>
      </c>
      <c r="D31">
        <f t="shared" si="2"/>
        <v>1</v>
      </c>
      <c r="E31">
        <f t="shared" si="3"/>
        <v>6</v>
      </c>
      <c r="F31">
        <f t="shared" si="4"/>
        <v>0</v>
      </c>
      <c r="G31">
        <f t="shared" si="5"/>
        <v>12</v>
      </c>
      <c r="H31">
        <f t="shared" si="6"/>
        <v>0</v>
      </c>
      <c r="I31">
        <f t="shared" si="1"/>
        <v>0</v>
      </c>
      <c r="J31" t="str">
        <f t="shared" si="7"/>
        <v/>
      </c>
      <c r="K31" t="str">
        <f t="shared" si="8"/>
        <v/>
      </c>
      <c r="L31">
        <v>0.7361811715939256</v>
      </c>
      <c r="M31">
        <f t="shared" si="9"/>
        <v>6</v>
      </c>
      <c r="N31">
        <f>IF(A31=3,8,0)+SUMIFS($I$13:I30,$K$13:K30,A31)</f>
        <v>0</v>
      </c>
      <c r="O31">
        <f t="shared" si="10"/>
        <v>6</v>
      </c>
      <c r="P31">
        <f t="shared" si="11"/>
        <v>0</v>
      </c>
      <c r="Q31">
        <f t="shared" si="12"/>
        <v>0</v>
      </c>
      <c r="R31" s="5">
        <f t="shared" si="13"/>
        <v>12</v>
      </c>
    </row>
    <row r="32" spans="1:23" x14ac:dyDescent="0.55000000000000004">
      <c r="A32" s="4">
        <f t="shared" si="15"/>
        <v>20</v>
      </c>
      <c r="B32">
        <f t="shared" si="14"/>
        <v>6</v>
      </c>
      <c r="C32">
        <v>0.13746070350906625</v>
      </c>
      <c r="D32">
        <f t="shared" si="2"/>
        <v>1</v>
      </c>
      <c r="E32">
        <f t="shared" si="3"/>
        <v>5</v>
      </c>
      <c r="F32">
        <f t="shared" si="4"/>
        <v>0</v>
      </c>
      <c r="G32">
        <f t="shared" si="5"/>
        <v>10</v>
      </c>
      <c r="H32">
        <f t="shared" si="6"/>
        <v>0</v>
      </c>
      <c r="I32">
        <f t="shared" si="1"/>
        <v>7</v>
      </c>
      <c r="J32">
        <f t="shared" si="7"/>
        <v>1</v>
      </c>
      <c r="K32">
        <f t="shared" si="8"/>
        <v>21</v>
      </c>
      <c r="L32">
        <v>0.41666404945232305</v>
      </c>
      <c r="M32">
        <f t="shared" si="9"/>
        <v>5</v>
      </c>
      <c r="N32">
        <f>IF(A32=3,8,0)+SUMIFS($I$13:I31,$K$13:K31,A32)</f>
        <v>0</v>
      </c>
      <c r="O32">
        <f t="shared" si="10"/>
        <v>5</v>
      </c>
      <c r="P32">
        <f t="shared" si="11"/>
        <v>350</v>
      </c>
      <c r="Q32">
        <f t="shared" si="12"/>
        <v>10</v>
      </c>
      <c r="R32" s="5">
        <f t="shared" si="13"/>
        <v>370</v>
      </c>
    </row>
    <row r="33" spans="1:18" x14ac:dyDescent="0.55000000000000004">
      <c r="A33" s="4">
        <f t="shared" si="15"/>
        <v>21</v>
      </c>
      <c r="B33">
        <f t="shared" si="14"/>
        <v>5</v>
      </c>
      <c r="C33">
        <v>0.31109380780669238</v>
      </c>
      <c r="D33">
        <f t="shared" si="2"/>
        <v>1</v>
      </c>
      <c r="E33">
        <f t="shared" si="3"/>
        <v>4</v>
      </c>
      <c r="F33">
        <f t="shared" si="4"/>
        <v>0</v>
      </c>
      <c r="G33">
        <f t="shared" si="5"/>
        <v>8</v>
      </c>
      <c r="H33">
        <f t="shared" si="6"/>
        <v>0</v>
      </c>
      <c r="I33">
        <f t="shared" si="1"/>
        <v>0</v>
      </c>
      <c r="J33" t="str">
        <f t="shared" si="7"/>
        <v/>
      </c>
      <c r="K33" t="str">
        <f t="shared" si="8"/>
        <v/>
      </c>
      <c r="L33">
        <v>0.35206906676921257</v>
      </c>
      <c r="M33">
        <f t="shared" si="9"/>
        <v>11</v>
      </c>
      <c r="N33">
        <f>IF(A33=3,8,0)+SUMIFS($I$13:I32,$K$13:K32,A33)</f>
        <v>7</v>
      </c>
      <c r="O33">
        <f t="shared" si="10"/>
        <v>11</v>
      </c>
      <c r="P33">
        <f t="shared" si="11"/>
        <v>0</v>
      </c>
      <c r="Q33">
        <f t="shared" si="12"/>
        <v>0</v>
      </c>
      <c r="R33" s="5">
        <f t="shared" si="13"/>
        <v>8</v>
      </c>
    </row>
    <row r="34" spans="1:18" x14ac:dyDescent="0.55000000000000004">
      <c r="A34" s="4">
        <f t="shared" si="15"/>
        <v>22</v>
      </c>
      <c r="B34">
        <f t="shared" si="14"/>
        <v>11</v>
      </c>
      <c r="C34">
        <v>0.89326081007801761</v>
      </c>
      <c r="D34">
        <f t="shared" si="2"/>
        <v>3</v>
      </c>
      <c r="E34">
        <f t="shared" si="3"/>
        <v>8</v>
      </c>
      <c r="F34">
        <f t="shared" si="4"/>
        <v>0</v>
      </c>
      <c r="G34">
        <f t="shared" si="5"/>
        <v>16</v>
      </c>
      <c r="H34">
        <f t="shared" si="6"/>
        <v>0</v>
      </c>
      <c r="I34">
        <f t="shared" si="1"/>
        <v>0</v>
      </c>
      <c r="J34" t="str">
        <f t="shared" si="7"/>
        <v/>
      </c>
      <c r="K34" t="str">
        <f t="shared" si="8"/>
        <v/>
      </c>
      <c r="L34">
        <v>0.55298121064780525</v>
      </c>
      <c r="M34">
        <f t="shared" si="9"/>
        <v>8</v>
      </c>
      <c r="N34">
        <f>IF(A34=3,8,0)+SUMIFS($I$13:I33,$K$13:K33,A34)</f>
        <v>0</v>
      </c>
      <c r="O34">
        <f t="shared" si="10"/>
        <v>8</v>
      </c>
      <c r="P34">
        <f t="shared" si="11"/>
        <v>0</v>
      </c>
      <c r="Q34">
        <f t="shared" si="12"/>
        <v>0</v>
      </c>
      <c r="R34" s="5">
        <f t="shared" si="13"/>
        <v>16</v>
      </c>
    </row>
    <row r="35" spans="1:18" x14ac:dyDescent="0.55000000000000004">
      <c r="A35" s="4">
        <f t="shared" si="15"/>
        <v>23</v>
      </c>
      <c r="B35">
        <f t="shared" si="14"/>
        <v>8</v>
      </c>
      <c r="C35">
        <v>0.47298526076019609</v>
      </c>
      <c r="D35">
        <f t="shared" si="2"/>
        <v>2</v>
      </c>
      <c r="E35">
        <f t="shared" si="3"/>
        <v>6</v>
      </c>
      <c r="F35">
        <f t="shared" si="4"/>
        <v>0</v>
      </c>
      <c r="G35">
        <f t="shared" si="5"/>
        <v>12</v>
      </c>
      <c r="H35">
        <f t="shared" si="6"/>
        <v>0</v>
      </c>
      <c r="I35">
        <f t="shared" si="1"/>
        <v>0</v>
      </c>
      <c r="J35" t="str">
        <f t="shared" si="7"/>
        <v/>
      </c>
      <c r="K35" t="str">
        <f t="shared" si="8"/>
        <v/>
      </c>
      <c r="L35">
        <v>0.51926916364914111</v>
      </c>
      <c r="M35">
        <f t="shared" si="9"/>
        <v>6</v>
      </c>
      <c r="N35">
        <f>IF(A35=3,8,0)+SUMIFS($I$13:I34,$K$13:K34,A35)</f>
        <v>0</v>
      </c>
      <c r="O35">
        <f t="shared" si="10"/>
        <v>6</v>
      </c>
      <c r="P35">
        <f t="shared" si="11"/>
        <v>0</v>
      </c>
      <c r="Q35">
        <f t="shared" si="12"/>
        <v>0</v>
      </c>
      <c r="R35" s="5">
        <f t="shared" si="13"/>
        <v>12</v>
      </c>
    </row>
    <row r="36" spans="1:18" x14ac:dyDescent="0.55000000000000004">
      <c r="A36" s="4">
        <f t="shared" si="15"/>
        <v>24</v>
      </c>
      <c r="B36">
        <f t="shared" si="14"/>
        <v>6</v>
      </c>
      <c r="C36">
        <v>0.66002959289613194</v>
      </c>
      <c r="D36">
        <f t="shared" si="2"/>
        <v>2</v>
      </c>
      <c r="E36">
        <f t="shared" si="3"/>
        <v>4</v>
      </c>
      <c r="F36">
        <f t="shared" si="4"/>
        <v>0</v>
      </c>
      <c r="G36">
        <f t="shared" si="5"/>
        <v>8</v>
      </c>
      <c r="H36">
        <f t="shared" si="6"/>
        <v>0</v>
      </c>
      <c r="I36">
        <f t="shared" si="1"/>
        <v>0</v>
      </c>
      <c r="J36" t="str">
        <f t="shared" si="7"/>
        <v/>
      </c>
      <c r="K36" t="str">
        <f t="shared" si="8"/>
        <v/>
      </c>
      <c r="L36">
        <v>4.9023049496241367E-2</v>
      </c>
      <c r="M36">
        <f t="shared" si="9"/>
        <v>4</v>
      </c>
      <c r="N36">
        <f>IF(A36=3,8,0)+SUMIFS($I$13:I35,$K$13:K35,A36)</f>
        <v>0</v>
      </c>
      <c r="O36">
        <f t="shared" si="10"/>
        <v>4</v>
      </c>
      <c r="P36">
        <f t="shared" si="11"/>
        <v>0</v>
      </c>
      <c r="Q36">
        <f t="shared" si="12"/>
        <v>0</v>
      </c>
      <c r="R36" s="5">
        <f t="shared" si="13"/>
        <v>8</v>
      </c>
    </row>
    <row r="37" spans="1:18" x14ac:dyDescent="0.55000000000000004">
      <c r="A37" s="4">
        <f t="shared" si="15"/>
        <v>25</v>
      </c>
      <c r="B37">
        <f t="shared" si="14"/>
        <v>4</v>
      </c>
      <c r="C37">
        <v>0.45290393045234822</v>
      </c>
      <c r="D37">
        <f t="shared" si="2"/>
        <v>2</v>
      </c>
      <c r="E37">
        <f t="shared" si="3"/>
        <v>2</v>
      </c>
      <c r="F37">
        <f t="shared" si="4"/>
        <v>0</v>
      </c>
      <c r="G37">
        <f t="shared" si="5"/>
        <v>4</v>
      </c>
      <c r="H37">
        <f t="shared" si="6"/>
        <v>0</v>
      </c>
      <c r="I37">
        <f t="shared" si="1"/>
        <v>10</v>
      </c>
      <c r="J37">
        <f t="shared" si="7"/>
        <v>2</v>
      </c>
      <c r="K37">
        <f t="shared" si="8"/>
        <v>27</v>
      </c>
      <c r="L37">
        <v>0.8365521425681528</v>
      </c>
      <c r="M37">
        <f t="shared" si="9"/>
        <v>2</v>
      </c>
      <c r="N37">
        <f>IF(A37=3,8,0)+SUMIFS($I$13:I36,$K$13:K36,A37)</f>
        <v>0</v>
      </c>
      <c r="O37">
        <f t="shared" si="10"/>
        <v>2</v>
      </c>
      <c r="P37">
        <f t="shared" si="11"/>
        <v>500</v>
      </c>
      <c r="Q37">
        <f t="shared" si="12"/>
        <v>10</v>
      </c>
      <c r="R37" s="5">
        <f t="shared" si="13"/>
        <v>514</v>
      </c>
    </row>
    <row r="38" spans="1:18" x14ac:dyDescent="0.55000000000000004">
      <c r="A38" s="4">
        <f t="shared" si="15"/>
        <v>26</v>
      </c>
      <c r="B38">
        <f t="shared" si="14"/>
        <v>2</v>
      </c>
      <c r="C38">
        <v>0.96014493881882312</v>
      </c>
      <c r="D38">
        <f t="shared" si="2"/>
        <v>4</v>
      </c>
      <c r="E38">
        <f t="shared" si="3"/>
        <v>0</v>
      </c>
      <c r="F38">
        <f t="shared" si="4"/>
        <v>2</v>
      </c>
      <c r="G38">
        <f t="shared" si="5"/>
        <v>0</v>
      </c>
      <c r="H38">
        <f t="shared" si="6"/>
        <v>3</v>
      </c>
      <c r="I38">
        <f t="shared" si="1"/>
        <v>0</v>
      </c>
      <c r="J38" t="str">
        <f t="shared" si="7"/>
        <v/>
      </c>
      <c r="K38" t="str">
        <f t="shared" si="8"/>
        <v/>
      </c>
      <c r="L38">
        <v>0.32860437168179257</v>
      </c>
      <c r="M38">
        <f t="shared" si="9"/>
        <v>0</v>
      </c>
      <c r="N38">
        <f>IF(A38=3,8,0)+SUMIFS($I$13:I37,$K$13:K37,A38)</f>
        <v>0</v>
      </c>
      <c r="O38">
        <f t="shared" si="10"/>
        <v>0</v>
      </c>
      <c r="P38">
        <f t="shared" si="11"/>
        <v>0</v>
      </c>
      <c r="Q38">
        <f t="shared" si="12"/>
        <v>0</v>
      </c>
      <c r="R38" s="5">
        <f t="shared" si="13"/>
        <v>3</v>
      </c>
    </row>
    <row r="39" spans="1:18" x14ac:dyDescent="0.55000000000000004">
      <c r="A39" s="4">
        <f t="shared" si="15"/>
        <v>27</v>
      </c>
      <c r="B39">
        <f t="shared" si="14"/>
        <v>0</v>
      </c>
      <c r="C39">
        <v>6.7246340182561593E-2</v>
      </c>
      <c r="D39">
        <f t="shared" si="2"/>
        <v>0</v>
      </c>
      <c r="E39">
        <f t="shared" si="3"/>
        <v>0</v>
      </c>
      <c r="F39">
        <f t="shared" si="4"/>
        <v>0</v>
      </c>
      <c r="G39">
        <f t="shared" si="5"/>
        <v>0</v>
      </c>
      <c r="H39">
        <f t="shared" si="6"/>
        <v>0</v>
      </c>
      <c r="I39">
        <f t="shared" si="1"/>
        <v>0</v>
      </c>
      <c r="J39" t="str">
        <f t="shared" si="7"/>
        <v/>
      </c>
      <c r="K39" t="str">
        <f t="shared" si="8"/>
        <v/>
      </c>
      <c r="L39">
        <v>0.46756863423812356</v>
      </c>
      <c r="M39">
        <f t="shared" si="9"/>
        <v>10</v>
      </c>
      <c r="N39">
        <f>IF(A39=3,8,0)+SUMIFS($I$13:I38,$K$13:K38,A39)</f>
        <v>10</v>
      </c>
      <c r="O39">
        <f t="shared" si="10"/>
        <v>10</v>
      </c>
      <c r="P39">
        <f t="shared" si="11"/>
        <v>0</v>
      </c>
      <c r="Q39">
        <f t="shared" si="12"/>
        <v>0</v>
      </c>
      <c r="R39" s="5">
        <f t="shared" si="13"/>
        <v>0</v>
      </c>
    </row>
    <row r="40" spans="1:18" x14ac:dyDescent="0.55000000000000004">
      <c r="A40" s="4">
        <f t="shared" si="15"/>
        <v>28</v>
      </c>
      <c r="B40">
        <f t="shared" si="14"/>
        <v>10</v>
      </c>
      <c r="C40">
        <v>9.8713621517987793E-2</v>
      </c>
      <c r="D40">
        <f t="shared" si="2"/>
        <v>0</v>
      </c>
      <c r="E40">
        <f t="shared" si="3"/>
        <v>10</v>
      </c>
      <c r="F40">
        <f t="shared" si="4"/>
        <v>0</v>
      </c>
      <c r="G40">
        <f t="shared" si="5"/>
        <v>20</v>
      </c>
      <c r="H40">
        <f t="shared" si="6"/>
        <v>0</v>
      </c>
      <c r="I40">
        <f t="shared" si="1"/>
        <v>0</v>
      </c>
      <c r="J40" t="str">
        <f t="shared" si="7"/>
        <v/>
      </c>
      <c r="K40" t="str">
        <f t="shared" si="8"/>
        <v/>
      </c>
      <c r="L40">
        <v>0.44730492029374469</v>
      </c>
      <c r="M40">
        <f t="shared" si="9"/>
        <v>10</v>
      </c>
      <c r="N40">
        <f>IF(A40=3,8,0)+SUMIFS($I$13:I39,$K$13:K39,A40)</f>
        <v>0</v>
      </c>
      <c r="O40">
        <f t="shared" si="10"/>
        <v>10</v>
      </c>
      <c r="P40">
        <f t="shared" si="11"/>
        <v>0</v>
      </c>
      <c r="Q40">
        <f t="shared" si="12"/>
        <v>0</v>
      </c>
      <c r="R40" s="5">
        <f t="shared" si="13"/>
        <v>20</v>
      </c>
    </row>
    <row r="41" spans="1:18" x14ac:dyDescent="0.55000000000000004">
      <c r="A41" s="4">
        <f t="shared" si="15"/>
        <v>29</v>
      </c>
      <c r="B41">
        <f t="shared" si="14"/>
        <v>10</v>
      </c>
      <c r="C41">
        <v>0.83942756106747929</v>
      </c>
      <c r="D41">
        <f t="shared" si="2"/>
        <v>3</v>
      </c>
      <c r="E41">
        <f t="shared" si="3"/>
        <v>7</v>
      </c>
      <c r="F41">
        <f t="shared" si="4"/>
        <v>0</v>
      </c>
      <c r="G41">
        <f t="shared" si="5"/>
        <v>14</v>
      </c>
      <c r="H41">
        <f t="shared" si="6"/>
        <v>0</v>
      </c>
      <c r="I41">
        <f t="shared" si="1"/>
        <v>0</v>
      </c>
      <c r="J41" t="str">
        <f t="shared" si="7"/>
        <v/>
      </c>
      <c r="K41" t="str">
        <f t="shared" si="8"/>
        <v/>
      </c>
      <c r="L41">
        <v>0.93608720915819388</v>
      </c>
      <c r="M41">
        <f t="shared" si="9"/>
        <v>7</v>
      </c>
      <c r="N41">
        <f>IF(A41=3,8,0)+SUMIFS($I$13:I40,$K$13:K40,A41)</f>
        <v>0</v>
      </c>
      <c r="O41">
        <f t="shared" si="10"/>
        <v>7</v>
      </c>
      <c r="P41">
        <f t="shared" si="11"/>
        <v>0</v>
      </c>
      <c r="Q41">
        <f t="shared" si="12"/>
        <v>0</v>
      </c>
      <c r="R41" s="5">
        <f t="shared" si="13"/>
        <v>14</v>
      </c>
    </row>
    <row r="42" spans="1:18" x14ac:dyDescent="0.55000000000000004">
      <c r="A42" s="4">
        <f t="shared" si="15"/>
        <v>30</v>
      </c>
      <c r="B42">
        <f t="shared" si="14"/>
        <v>7</v>
      </c>
      <c r="C42">
        <v>0.32238260785496464</v>
      </c>
      <c r="D42">
        <f t="shared" si="2"/>
        <v>1</v>
      </c>
      <c r="E42">
        <f t="shared" si="3"/>
        <v>6</v>
      </c>
      <c r="F42">
        <f t="shared" si="4"/>
        <v>0</v>
      </c>
      <c r="G42">
        <f t="shared" si="5"/>
        <v>12</v>
      </c>
      <c r="H42">
        <f t="shared" si="6"/>
        <v>0</v>
      </c>
      <c r="I42">
        <f t="shared" si="1"/>
        <v>6</v>
      </c>
      <c r="J42">
        <f t="shared" si="7"/>
        <v>1</v>
      </c>
      <c r="K42">
        <f t="shared" si="8"/>
        <v>31</v>
      </c>
      <c r="L42">
        <v>0.2873425288884458</v>
      </c>
      <c r="M42">
        <f t="shared" si="9"/>
        <v>6</v>
      </c>
      <c r="N42">
        <f>IF(A42=3,8,0)+SUMIFS($I$13:I41,$K$13:K41,A42)</f>
        <v>0</v>
      </c>
      <c r="O42">
        <f t="shared" si="10"/>
        <v>6</v>
      </c>
      <c r="P42">
        <f t="shared" si="11"/>
        <v>300</v>
      </c>
      <c r="Q42">
        <f t="shared" si="12"/>
        <v>10</v>
      </c>
      <c r="R42" s="5">
        <f t="shared" si="13"/>
        <v>322</v>
      </c>
    </row>
    <row r="43" spans="1:18" x14ac:dyDescent="0.55000000000000004">
      <c r="A43" s="4">
        <f t="shared" si="15"/>
        <v>31</v>
      </c>
      <c r="B43">
        <f t="shared" si="14"/>
        <v>6</v>
      </c>
      <c r="C43">
        <v>0.65588053090253251</v>
      </c>
      <c r="D43">
        <f t="shared" si="2"/>
        <v>2</v>
      </c>
      <c r="E43">
        <f t="shared" si="3"/>
        <v>4</v>
      </c>
      <c r="F43">
        <f t="shared" si="4"/>
        <v>0</v>
      </c>
      <c r="G43">
        <f t="shared" si="5"/>
        <v>8</v>
      </c>
      <c r="H43">
        <f t="shared" si="6"/>
        <v>0</v>
      </c>
      <c r="I43">
        <f t="shared" si="1"/>
        <v>0</v>
      </c>
      <c r="J43" t="str">
        <f t="shared" si="7"/>
        <v/>
      </c>
      <c r="K43" t="str">
        <f t="shared" si="8"/>
        <v/>
      </c>
      <c r="L43">
        <v>0.71318297600704306</v>
      </c>
      <c r="M43">
        <f t="shared" si="9"/>
        <v>10</v>
      </c>
      <c r="N43">
        <f>IF(A43=3,8,0)+SUMIFS($I$13:I42,$K$13:K42,A43)</f>
        <v>6</v>
      </c>
      <c r="O43">
        <f t="shared" si="10"/>
        <v>10</v>
      </c>
      <c r="P43">
        <f t="shared" si="11"/>
        <v>0</v>
      </c>
      <c r="Q43">
        <f t="shared" si="12"/>
        <v>0</v>
      </c>
      <c r="R43" s="5">
        <f t="shared" si="13"/>
        <v>8</v>
      </c>
    </row>
    <row r="44" spans="1:18" x14ac:dyDescent="0.55000000000000004">
      <c r="A44" s="4">
        <f t="shared" si="15"/>
        <v>32</v>
      </c>
      <c r="B44">
        <f t="shared" si="14"/>
        <v>10</v>
      </c>
      <c r="C44">
        <v>0.3459344171381612</v>
      </c>
      <c r="D44">
        <f t="shared" si="2"/>
        <v>1</v>
      </c>
      <c r="E44">
        <f t="shared" si="3"/>
        <v>9</v>
      </c>
      <c r="F44">
        <f t="shared" si="4"/>
        <v>0</v>
      </c>
      <c r="G44">
        <f t="shared" si="5"/>
        <v>18</v>
      </c>
      <c r="H44">
        <f t="shared" si="6"/>
        <v>0</v>
      </c>
      <c r="I44">
        <f t="shared" si="1"/>
        <v>0</v>
      </c>
      <c r="J44" t="str">
        <f t="shared" si="7"/>
        <v/>
      </c>
      <c r="K44" t="str">
        <f t="shared" si="8"/>
        <v/>
      </c>
      <c r="L44">
        <v>0.47421811171423933</v>
      </c>
      <c r="M44">
        <f t="shared" si="9"/>
        <v>9</v>
      </c>
      <c r="N44">
        <f>IF(A44=3,8,0)+SUMIFS($I$13:I43,$K$13:K43,A44)</f>
        <v>0</v>
      </c>
      <c r="O44">
        <f t="shared" si="10"/>
        <v>9</v>
      </c>
      <c r="P44">
        <f t="shared" si="11"/>
        <v>0</v>
      </c>
      <c r="Q44">
        <f t="shared" si="12"/>
        <v>0</v>
      </c>
      <c r="R44" s="5">
        <f t="shared" si="13"/>
        <v>18</v>
      </c>
    </row>
    <row r="45" spans="1:18" x14ac:dyDescent="0.55000000000000004">
      <c r="A45" s="4">
        <f t="shared" si="15"/>
        <v>33</v>
      </c>
      <c r="B45">
        <f t="shared" si="14"/>
        <v>9</v>
      </c>
      <c r="C45">
        <v>0.20288524647543393</v>
      </c>
      <c r="D45">
        <f t="shared" si="2"/>
        <v>1</v>
      </c>
      <c r="E45">
        <f t="shared" si="3"/>
        <v>8</v>
      </c>
      <c r="F45">
        <f t="shared" si="4"/>
        <v>0</v>
      </c>
      <c r="G45">
        <f t="shared" si="5"/>
        <v>16</v>
      </c>
      <c r="H45">
        <f t="shared" si="6"/>
        <v>0</v>
      </c>
      <c r="I45">
        <f t="shared" si="1"/>
        <v>0</v>
      </c>
      <c r="J45" t="str">
        <f t="shared" si="7"/>
        <v/>
      </c>
      <c r="K45" t="str">
        <f t="shared" si="8"/>
        <v/>
      </c>
      <c r="L45">
        <v>0.18536760516478223</v>
      </c>
      <c r="M45">
        <f t="shared" si="9"/>
        <v>8</v>
      </c>
      <c r="N45">
        <f>IF(A45=3,8,0)+SUMIFS($I$13:I44,$K$13:K44,A45)</f>
        <v>0</v>
      </c>
      <c r="O45">
        <f t="shared" si="10"/>
        <v>8</v>
      </c>
      <c r="P45">
        <f t="shared" si="11"/>
        <v>0</v>
      </c>
      <c r="Q45">
        <f t="shared" si="12"/>
        <v>0</v>
      </c>
      <c r="R45" s="5">
        <f t="shared" si="13"/>
        <v>16</v>
      </c>
    </row>
    <row r="46" spans="1:18" x14ac:dyDescent="0.55000000000000004">
      <c r="A46" s="4">
        <f t="shared" si="15"/>
        <v>34</v>
      </c>
      <c r="B46">
        <f t="shared" si="14"/>
        <v>8</v>
      </c>
      <c r="C46">
        <v>3.2833441723985612E-2</v>
      </c>
      <c r="D46">
        <f t="shared" si="2"/>
        <v>0</v>
      </c>
      <c r="E46">
        <f t="shared" si="3"/>
        <v>8</v>
      </c>
      <c r="F46">
        <f t="shared" si="4"/>
        <v>0</v>
      </c>
      <c r="G46">
        <f t="shared" si="5"/>
        <v>16</v>
      </c>
      <c r="H46">
        <f t="shared" si="6"/>
        <v>0</v>
      </c>
      <c r="I46">
        <f t="shared" si="1"/>
        <v>0</v>
      </c>
      <c r="J46" t="str">
        <f t="shared" si="7"/>
        <v/>
      </c>
      <c r="K46" t="str">
        <f t="shared" si="8"/>
        <v/>
      </c>
      <c r="L46">
        <v>0.28988429261553095</v>
      </c>
      <c r="M46">
        <f t="shared" si="9"/>
        <v>8</v>
      </c>
      <c r="N46">
        <f>IF(A46=3,8,0)+SUMIFS($I$13:I45,$K$13:K45,A46)</f>
        <v>0</v>
      </c>
      <c r="O46">
        <f t="shared" si="10"/>
        <v>8</v>
      </c>
      <c r="P46">
        <f t="shared" si="11"/>
        <v>0</v>
      </c>
      <c r="Q46">
        <f t="shared" si="12"/>
        <v>0</v>
      </c>
      <c r="R46" s="5">
        <f t="shared" si="13"/>
        <v>16</v>
      </c>
    </row>
    <row r="47" spans="1:18" x14ac:dyDescent="0.55000000000000004">
      <c r="A47" s="4">
        <f t="shared" si="15"/>
        <v>35</v>
      </c>
      <c r="B47">
        <f t="shared" si="14"/>
        <v>8</v>
      </c>
      <c r="C47">
        <v>0.67452802563535363</v>
      </c>
      <c r="D47">
        <f t="shared" si="2"/>
        <v>2</v>
      </c>
      <c r="E47">
        <f t="shared" si="3"/>
        <v>6</v>
      </c>
      <c r="F47">
        <f t="shared" si="4"/>
        <v>0</v>
      </c>
      <c r="G47">
        <f t="shared" si="5"/>
        <v>12</v>
      </c>
      <c r="H47">
        <f t="shared" si="6"/>
        <v>0</v>
      </c>
      <c r="I47">
        <f t="shared" si="1"/>
        <v>6</v>
      </c>
      <c r="J47">
        <f t="shared" si="7"/>
        <v>3</v>
      </c>
      <c r="K47">
        <f t="shared" si="8"/>
        <v>38</v>
      </c>
      <c r="L47">
        <v>0.95616958246885675</v>
      </c>
      <c r="M47">
        <f t="shared" si="9"/>
        <v>6</v>
      </c>
      <c r="N47">
        <f>IF(A47=3,8,0)+SUMIFS($I$13:I46,$K$13:K46,A47)</f>
        <v>0</v>
      </c>
      <c r="O47">
        <f t="shared" si="10"/>
        <v>6</v>
      </c>
      <c r="P47">
        <f t="shared" si="11"/>
        <v>300</v>
      </c>
      <c r="Q47">
        <f t="shared" si="12"/>
        <v>10</v>
      </c>
      <c r="R47" s="5">
        <f t="shared" si="13"/>
        <v>322</v>
      </c>
    </row>
    <row r="48" spans="1:18" x14ac:dyDescent="0.55000000000000004">
      <c r="A48" s="4">
        <f t="shared" si="15"/>
        <v>36</v>
      </c>
      <c r="B48">
        <f t="shared" si="14"/>
        <v>6</v>
      </c>
      <c r="C48">
        <v>0.87243788821896162</v>
      </c>
      <c r="D48">
        <f t="shared" si="2"/>
        <v>3</v>
      </c>
      <c r="E48">
        <f t="shared" si="3"/>
        <v>3</v>
      </c>
      <c r="F48">
        <f t="shared" si="4"/>
        <v>0</v>
      </c>
      <c r="G48">
        <f t="shared" si="5"/>
        <v>6</v>
      </c>
      <c r="H48">
        <f t="shared" si="6"/>
        <v>0</v>
      </c>
      <c r="I48">
        <f t="shared" si="1"/>
        <v>0</v>
      </c>
      <c r="J48" t="str">
        <f t="shared" si="7"/>
        <v/>
      </c>
      <c r="K48" t="str">
        <f t="shared" si="8"/>
        <v/>
      </c>
      <c r="L48">
        <v>0.3477332907060483</v>
      </c>
      <c r="M48">
        <f t="shared" si="9"/>
        <v>3</v>
      </c>
      <c r="N48">
        <f>IF(A48=3,8,0)+SUMIFS($I$13:I47,$K$13:K47,A48)</f>
        <v>0</v>
      </c>
      <c r="O48">
        <f t="shared" si="10"/>
        <v>3</v>
      </c>
      <c r="P48">
        <f t="shared" si="11"/>
        <v>0</v>
      </c>
      <c r="Q48">
        <f t="shared" si="12"/>
        <v>0</v>
      </c>
      <c r="R48" s="5">
        <f t="shared" si="13"/>
        <v>6</v>
      </c>
    </row>
    <row r="49" spans="1:18" x14ac:dyDescent="0.55000000000000004">
      <c r="A49" s="4">
        <f t="shared" si="15"/>
        <v>37</v>
      </c>
      <c r="B49">
        <f t="shared" si="14"/>
        <v>3</v>
      </c>
      <c r="C49">
        <v>0.46678519841428256</v>
      </c>
      <c r="D49">
        <f t="shared" si="2"/>
        <v>2</v>
      </c>
      <c r="E49">
        <f t="shared" si="3"/>
        <v>1</v>
      </c>
      <c r="F49">
        <f t="shared" si="4"/>
        <v>0</v>
      </c>
      <c r="G49">
        <f t="shared" si="5"/>
        <v>2</v>
      </c>
      <c r="H49">
        <f t="shared" si="6"/>
        <v>0</v>
      </c>
      <c r="I49">
        <f t="shared" si="1"/>
        <v>0</v>
      </c>
      <c r="J49" t="str">
        <f t="shared" si="7"/>
        <v/>
      </c>
      <c r="K49" t="str">
        <f t="shared" si="8"/>
        <v/>
      </c>
      <c r="L49">
        <v>0.57896271373573094</v>
      </c>
      <c r="M49">
        <f t="shared" si="9"/>
        <v>1</v>
      </c>
      <c r="N49">
        <f>IF(A49=3,8,0)+SUMIFS($I$13:I48,$K$13:K48,A49)</f>
        <v>0</v>
      </c>
      <c r="O49">
        <f t="shared" si="10"/>
        <v>1</v>
      </c>
      <c r="P49">
        <f t="shared" si="11"/>
        <v>0</v>
      </c>
      <c r="Q49">
        <f t="shared" si="12"/>
        <v>0</v>
      </c>
      <c r="R49" s="5">
        <f t="shared" si="13"/>
        <v>2</v>
      </c>
    </row>
    <row r="50" spans="1:18" x14ac:dyDescent="0.55000000000000004">
      <c r="A50" s="4">
        <f t="shared" si="15"/>
        <v>38</v>
      </c>
      <c r="B50">
        <f t="shared" si="14"/>
        <v>1</v>
      </c>
      <c r="C50">
        <v>0.31264007891609813</v>
      </c>
      <c r="D50">
        <f t="shared" si="2"/>
        <v>1</v>
      </c>
      <c r="E50">
        <f t="shared" si="3"/>
        <v>0</v>
      </c>
      <c r="F50">
        <f t="shared" si="4"/>
        <v>0</v>
      </c>
      <c r="G50">
        <f t="shared" si="5"/>
        <v>0</v>
      </c>
      <c r="H50">
        <f t="shared" si="6"/>
        <v>0</v>
      </c>
      <c r="I50">
        <f t="shared" si="1"/>
        <v>0</v>
      </c>
      <c r="J50" t="str">
        <f t="shared" si="7"/>
        <v/>
      </c>
      <c r="K50" t="str">
        <f t="shared" si="8"/>
        <v/>
      </c>
      <c r="L50">
        <v>0.74196774387882514</v>
      </c>
      <c r="M50">
        <f t="shared" si="9"/>
        <v>6</v>
      </c>
      <c r="N50">
        <f>IF(A50=3,8,0)+SUMIFS($I$13:I49,$K$13:K49,A50)</f>
        <v>6</v>
      </c>
      <c r="O50">
        <f t="shared" si="10"/>
        <v>6</v>
      </c>
      <c r="P50">
        <f t="shared" si="11"/>
        <v>0</v>
      </c>
      <c r="Q50">
        <f t="shared" si="12"/>
        <v>0</v>
      </c>
      <c r="R50" s="5">
        <f t="shared" si="13"/>
        <v>0</v>
      </c>
    </row>
    <row r="51" spans="1:18" x14ac:dyDescent="0.55000000000000004">
      <c r="A51" s="4">
        <f t="shared" si="15"/>
        <v>39</v>
      </c>
      <c r="B51">
        <f t="shared" si="14"/>
        <v>6</v>
      </c>
      <c r="C51">
        <v>0.29873962497283935</v>
      </c>
      <c r="D51">
        <f t="shared" si="2"/>
        <v>1</v>
      </c>
      <c r="E51">
        <f t="shared" si="3"/>
        <v>5</v>
      </c>
      <c r="F51">
        <f t="shared" si="4"/>
        <v>0</v>
      </c>
      <c r="G51">
        <f t="shared" si="5"/>
        <v>10</v>
      </c>
      <c r="H51">
        <f t="shared" si="6"/>
        <v>0</v>
      </c>
      <c r="I51">
        <f t="shared" si="1"/>
        <v>0</v>
      </c>
      <c r="J51" t="str">
        <f t="shared" si="7"/>
        <v/>
      </c>
      <c r="K51" t="str">
        <f t="shared" si="8"/>
        <v/>
      </c>
      <c r="L51">
        <v>0.57216003929218751</v>
      </c>
      <c r="M51">
        <f t="shared" si="9"/>
        <v>5</v>
      </c>
      <c r="N51">
        <f>IF(A51=3,8,0)+SUMIFS($I$13:I50,$K$13:K50,A51)</f>
        <v>0</v>
      </c>
      <c r="O51">
        <f t="shared" si="10"/>
        <v>5</v>
      </c>
      <c r="P51">
        <f t="shared" si="11"/>
        <v>0</v>
      </c>
      <c r="Q51">
        <f t="shared" si="12"/>
        <v>0</v>
      </c>
      <c r="R51" s="5">
        <f t="shared" si="13"/>
        <v>10</v>
      </c>
    </row>
    <row r="52" spans="1:18" x14ac:dyDescent="0.55000000000000004">
      <c r="A52" s="4">
        <f t="shared" si="15"/>
        <v>40</v>
      </c>
      <c r="B52">
        <f t="shared" si="14"/>
        <v>5</v>
      </c>
      <c r="C52">
        <v>0.13654456521952452</v>
      </c>
      <c r="D52">
        <f t="shared" si="2"/>
        <v>1</v>
      </c>
      <c r="E52">
        <f t="shared" si="3"/>
        <v>4</v>
      </c>
      <c r="F52">
        <f t="shared" si="4"/>
        <v>0</v>
      </c>
      <c r="G52">
        <f t="shared" si="5"/>
        <v>8</v>
      </c>
      <c r="H52">
        <f t="shared" si="6"/>
        <v>0</v>
      </c>
      <c r="I52">
        <f t="shared" si="1"/>
        <v>8</v>
      </c>
      <c r="J52">
        <f t="shared" si="7"/>
        <v>1</v>
      </c>
      <c r="K52">
        <f t="shared" si="8"/>
        <v>41</v>
      </c>
      <c r="L52">
        <v>0.31969929479997417</v>
      </c>
      <c r="M52">
        <f t="shared" si="9"/>
        <v>4</v>
      </c>
      <c r="N52">
        <f>IF(A52=3,8,0)+SUMIFS($I$13:I51,$K$13:K51,A52)</f>
        <v>0</v>
      </c>
      <c r="O52">
        <f t="shared" si="10"/>
        <v>4</v>
      </c>
      <c r="P52">
        <f t="shared" si="11"/>
        <v>400</v>
      </c>
      <c r="Q52">
        <f t="shared" si="12"/>
        <v>10</v>
      </c>
      <c r="R52" s="5">
        <f t="shared" si="13"/>
        <v>418</v>
      </c>
    </row>
    <row r="53" spans="1:18" x14ac:dyDescent="0.55000000000000004">
      <c r="A53" s="4">
        <f t="shared" si="15"/>
        <v>41</v>
      </c>
      <c r="B53">
        <f t="shared" si="14"/>
        <v>4</v>
      </c>
      <c r="C53">
        <v>0.67712214945764826</v>
      </c>
      <c r="D53">
        <f t="shared" si="2"/>
        <v>2</v>
      </c>
      <c r="E53">
        <f t="shared" si="3"/>
        <v>2</v>
      </c>
      <c r="F53">
        <f t="shared" si="4"/>
        <v>0</v>
      </c>
      <c r="G53">
        <f t="shared" si="5"/>
        <v>4</v>
      </c>
      <c r="H53">
        <f t="shared" si="6"/>
        <v>0</v>
      </c>
      <c r="I53">
        <f t="shared" si="1"/>
        <v>0</v>
      </c>
      <c r="J53" t="str">
        <f t="shared" si="7"/>
        <v/>
      </c>
      <c r="K53" t="str">
        <f t="shared" si="8"/>
        <v/>
      </c>
      <c r="L53">
        <v>0.851422228128763</v>
      </c>
      <c r="M53">
        <f t="shared" si="9"/>
        <v>10</v>
      </c>
      <c r="N53">
        <f>IF(A53=3,8,0)+SUMIFS($I$13:I52,$K$13:K52,A53)</f>
        <v>8</v>
      </c>
      <c r="O53">
        <f t="shared" si="10"/>
        <v>10</v>
      </c>
      <c r="P53">
        <f t="shared" si="11"/>
        <v>0</v>
      </c>
      <c r="Q53">
        <f t="shared" si="12"/>
        <v>0</v>
      </c>
      <c r="R53" s="5">
        <f t="shared" si="13"/>
        <v>4</v>
      </c>
    </row>
    <row r="54" spans="1:18" x14ac:dyDescent="0.55000000000000004">
      <c r="A54" s="4">
        <f t="shared" si="15"/>
        <v>42</v>
      </c>
      <c r="B54">
        <f t="shared" si="14"/>
        <v>10</v>
      </c>
      <c r="C54">
        <v>4.3141217316852054E-2</v>
      </c>
      <c r="D54">
        <f t="shared" si="2"/>
        <v>0</v>
      </c>
      <c r="E54">
        <f t="shared" si="3"/>
        <v>10</v>
      </c>
      <c r="F54">
        <f t="shared" si="4"/>
        <v>0</v>
      </c>
      <c r="G54">
        <f t="shared" si="5"/>
        <v>20</v>
      </c>
      <c r="H54">
        <f t="shared" si="6"/>
        <v>0</v>
      </c>
      <c r="I54">
        <f t="shared" si="1"/>
        <v>0</v>
      </c>
      <c r="J54" t="str">
        <f t="shared" si="7"/>
        <v/>
      </c>
      <c r="K54" t="str">
        <f t="shared" si="8"/>
        <v/>
      </c>
      <c r="L54">
        <v>0.9192721064559003</v>
      </c>
      <c r="M54">
        <f t="shared" si="9"/>
        <v>10</v>
      </c>
      <c r="N54">
        <f>IF(A54=3,8,0)+SUMIFS($I$13:I53,$K$13:K53,A54)</f>
        <v>0</v>
      </c>
      <c r="O54">
        <f t="shared" si="10"/>
        <v>10</v>
      </c>
      <c r="P54">
        <f t="shared" si="11"/>
        <v>0</v>
      </c>
      <c r="Q54">
        <f t="shared" si="12"/>
        <v>0</v>
      </c>
      <c r="R54" s="5">
        <f t="shared" si="13"/>
        <v>20</v>
      </c>
    </row>
    <row r="55" spans="1:18" x14ac:dyDescent="0.55000000000000004">
      <c r="A55" s="4">
        <f t="shared" si="15"/>
        <v>43</v>
      </c>
      <c r="B55">
        <f t="shared" si="14"/>
        <v>10</v>
      </c>
      <c r="C55">
        <v>0.94173912731342924</v>
      </c>
      <c r="D55">
        <f t="shared" si="2"/>
        <v>4</v>
      </c>
      <c r="E55">
        <f t="shared" si="3"/>
        <v>6</v>
      </c>
      <c r="F55">
        <f t="shared" si="4"/>
        <v>0</v>
      </c>
      <c r="G55">
        <f t="shared" si="5"/>
        <v>12</v>
      </c>
      <c r="H55">
        <f t="shared" si="6"/>
        <v>0</v>
      </c>
      <c r="I55">
        <f t="shared" si="1"/>
        <v>0</v>
      </c>
      <c r="J55" t="str">
        <f t="shared" si="7"/>
        <v/>
      </c>
      <c r="K55" t="str">
        <f t="shared" si="8"/>
        <v/>
      </c>
      <c r="L55">
        <v>0.40321819076287702</v>
      </c>
      <c r="M55">
        <f t="shared" si="9"/>
        <v>6</v>
      </c>
      <c r="N55">
        <f>IF(A55=3,8,0)+SUMIFS($I$13:I54,$K$13:K54,A55)</f>
        <v>0</v>
      </c>
      <c r="O55">
        <f t="shared" si="10"/>
        <v>6</v>
      </c>
      <c r="P55">
        <f t="shared" si="11"/>
        <v>0</v>
      </c>
      <c r="Q55">
        <f t="shared" si="12"/>
        <v>0</v>
      </c>
      <c r="R55" s="5">
        <f t="shared" si="13"/>
        <v>12</v>
      </c>
    </row>
    <row r="56" spans="1:18" x14ac:dyDescent="0.55000000000000004">
      <c r="A56" s="4">
        <f t="shared" si="15"/>
        <v>44</v>
      </c>
      <c r="B56">
        <f t="shared" si="14"/>
        <v>6</v>
      </c>
      <c r="C56">
        <v>0.26329863244901608</v>
      </c>
      <c r="D56">
        <f t="shared" si="2"/>
        <v>1</v>
      </c>
      <c r="E56">
        <f t="shared" si="3"/>
        <v>5</v>
      </c>
      <c r="F56">
        <f t="shared" si="4"/>
        <v>0</v>
      </c>
      <c r="G56">
        <f t="shared" si="5"/>
        <v>10</v>
      </c>
      <c r="H56">
        <f t="shared" si="6"/>
        <v>0</v>
      </c>
      <c r="I56">
        <f t="shared" si="1"/>
        <v>0</v>
      </c>
      <c r="J56" t="str">
        <f t="shared" si="7"/>
        <v/>
      </c>
      <c r="K56" t="str">
        <f t="shared" si="8"/>
        <v/>
      </c>
      <c r="L56">
        <v>0.91619729804879868</v>
      </c>
      <c r="M56">
        <f t="shared" si="9"/>
        <v>5</v>
      </c>
      <c r="N56">
        <f>IF(A56=3,8,0)+SUMIFS($I$13:I55,$K$13:K55,A56)</f>
        <v>0</v>
      </c>
      <c r="O56">
        <f t="shared" si="10"/>
        <v>5</v>
      </c>
      <c r="P56">
        <f t="shared" si="11"/>
        <v>0</v>
      </c>
      <c r="Q56">
        <f t="shared" si="12"/>
        <v>0</v>
      </c>
      <c r="R56" s="5">
        <f t="shared" si="13"/>
        <v>10</v>
      </c>
    </row>
    <row r="57" spans="1:18" x14ac:dyDescent="0.55000000000000004">
      <c r="A57" s="4">
        <f t="shared" si="15"/>
        <v>45</v>
      </c>
      <c r="B57">
        <f t="shared" si="14"/>
        <v>5</v>
      </c>
      <c r="C57">
        <v>0.15729018893182078</v>
      </c>
      <c r="D57">
        <f t="shared" si="2"/>
        <v>1</v>
      </c>
      <c r="E57">
        <f t="shared" si="3"/>
        <v>4</v>
      </c>
      <c r="F57">
        <f t="shared" si="4"/>
        <v>0</v>
      </c>
      <c r="G57">
        <f t="shared" si="5"/>
        <v>8</v>
      </c>
      <c r="H57">
        <f t="shared" si="6"/>
        <v>0</v>
      </c>
      <c r="I57">
        <f t="shared" si="1"/>
        <v>8</v>
      </c>
      <c r="J57">
        <f t="shared" si="7"/>
        <v>1</v>
      </c>
      <c r="K57">
        <f t="shared" si="8"/>
        <v>46</v>
      </c>
      <c r="L57">
        <v>0.17907837332068277</v>
      </c>
      <c r="M57">
        <f t="shared" si="9"/>
        <v>4</v>
      </c>
      <c r="N57">
        <f>IF(A57=3,8,0)+SUMIFS($I$13:I56,$K$13:K56,A57)</f>
        <v>0</v>
      </c>
      <c r="O57">
        <f t="shared" si="10"/>
        <v>4</v>
      </c>
      <c r="P57">
        <f t="shared" si="11"/>
        <v>400</v>
      </c>
      <c r="Q57">
        <f t="shared" si="12"/>
        <v>10</v>
      </c>
      <c r="R57" s="5">
        <f t="shared" si="13"/>
        <v>418</v>
      </c>
    </row>
    <row r="58" spans="1:18" x14ac:dyDescent="0.55000000000000004">
      <c r="A58" s="4">
        <f t="shared" si="15"/>
        <v>46</v>
      </c>
      <c r="B58">
        <f t="shared" si="14"/>
        <v>4</v>
      </c>
      <c r="C58">
        <v>0.81406716899234666</v>
      </c>
      <c r="D58">
        <f t="shared" si="2"/>
        <v>3</v>
      </c>
      <c r="E58">
        <f t="shared" si="3"/>
        <v>1</v>
      </c>
      <c r="F58">
        <f t="shared" si="4"/>
        <v>0</v>
      </c>
      <c r="G58">
        <f t="shared" si="5"/>
        <v>2</v>
      </c>
      <c r="H58">
        <f t="shared" si="6"/>
        <v>0</v>
      </c>
      <c r="I58">
        <f t="shared" si="1"/>
        <v>0</v>
      </c>
      <c r="J58" t="str">
        <f t="shared" si="7"/>
        <v/>
      </c>
      <c r="K58" t="str">
        <f t="shared" si="8"/>
        <v/>
      </c>
      <c r="L58">
        <v>0.85168811732718797</v>
      </c>
      <c r="M58">
        <f t="shared" si="9"/>
        <v>9</v>
      </c>
      <c r="N58">
        <f>IF(A58=3,8,0)+SUMIFS($I$13:I57,$K$13:K57,A58)</f>
        <v>8</v>
      </c>
      <c r="O58">
        <f t="shared" si="10"/>
        <v>9</v>
      </c>
      <c r="P58">
        <f t="shared" si="11"/>
        <v>0</v>
      </c>
      <c r="Q58">
        <f t="shared" si="12"/>
        <v>0</v>
      </c>
      <c r="R58" s="5">
        <f t="shared" si="13"/>
        <v>2</v>
      </c>
    </row>
    <row r="59" spans="1:18" x14ac:dyDescent="0.55000000000000004">
      <c r="A59" s="4">
        <f t="shared" si="15"/>
        <v>47</v>
      </c>
      <c r="B59">
        <f t="shared" si="14"/>
        <v>9</v>
      </c>
      <c r="C59">
        <v>0.69490685972489874</v>
      </c>
      <c r="D59">
        <f t="shared" si="2"/>
        <v>2</v>
      </c>
      <c r="E59">
        <f t="shared" si="3"/>
        <v>7</v>
      </c>
      <c r="F59">
        <f t="shared" si="4"/>
        <v>0</v>
      </c>
      <c r="G59">
        <f t="shared" si="5"/>
        <v>14</v>
      </c>
      <c r="H59">
        <f t="shared" si="6"/>
        <v>0</v>
      </c>
      <c r="I59">
        <f t="shared" si="1"/>
        <v>0</v>
      </c>
      <c r="J59" t="str">
        <f t="shared" si="7"/>
        <v/>
      </c>
      <c r="K59" t="str">
        <f t="shared" si="8"/>
        <v/>
      </c>
      <c r="L59">
        <v>0.26060943274013681</v>
      </c>
      <c r="M59">
        <f t="shared" si="9"/>
        <v>7</v>
      </c>
      <c r="N59">
        <f>IF(A59=3,8,0)+SUMIFS($I$13:I58,$K$13:K58,A59)</f>
        <v>0</v>
      </c>
      <c r="O59">
        <f t="shared" si="10"/>
        <v>7</v>
      </c>
      <c r="P59">
        <f t="shared" si="11"/>
        <v>0</v>
      </c>
      <c r="Q59">
        <f t="shared" si="12"/>
        <v>0</v>
      </c>
      <c r="R59" s="5">
        <f t="shared" si="13"/>
        <v>14</v>
      </c>
    </row>
    <row r="60" spans="1:18" x14ac:dyDescent="0.55000000000000004">
      <c r="A60" s="4">
        <f t="shared" si="15"/>
        <v>48</v>
      </c>
      <c r="B60">
        <f t="shared" si="14"/>
        <v>7</v>
      </c>
      <c r="C60">
        <v>0.87586941442273403</v>
      </c>
      <c r="D60">
        <f t="shared" si="2"/>
        <v>3</v>
      </c>
      <c r="E60">
        <f t="shared" si="3"/>
        <v>4</v>
      </c>
      <c r="F60">
        <f t="shared" si="4"/>
        <v>0</v>
      </c>
      <c r="G60">
        <f t="shared" si="5"/>
        <v>8</v>
      </c>
      <c r="H60">
        <f t="shared" si="6"/>
        <v>0</v>
      </c>
      <c r="I60">
        <f t="shared" si="1"/>
        <v>0</v>
      </c>
      <c r="J60" t="str">
        <f t="shared" si="7"/>
        <v/>
      </c>
      <c r="K60" t="str">
        <f t="shared" si="8"/>
        <v/>
      </c>
      <c r="L60">
        <v>0.5115986528997758</v>
      </c>
      <c r="M60">
        <f t="shared" si="9"/>
        <v>4</v>
      </c>
      <c r="N60">
        <f>IF(A60=3,8,0)+SUMIFS($I$13:I59,$K$13:K59,A60)</f>
        <v>0</v>
      </c>
      <c r="O60">
        <f t="shared" si="10"/>
        <v>4</v>
      </c>
      <c r="P60">
        <f t="shared" si="11"/>
        <v>0</v>
      </c>
      <c r="Q60">
        <f t="shared" si="12"/>
        <v>0</v>
      </c>
      <c r="R60" s="5">
        <f t="shared" si="13"/>
        <v>8</v>
      </c>
    </row>
    <row r="61" spans="1:18" x14ac:dyDescent="0.55000000000000004">
      <c r="A61" s="4">
        <f t="shared" si="15"/>
        <v>49</v>
      </c>
      <c r="B61">
        <f t="shared" si="14"/>
        <v>4</v>
      </c>
      <c r="C61">
        <v>0.58201266526281903</v>
      </c>
      <c r="D61">
        <f t="shared" si="2"/>
        <v>2</v>
      </c>
      <c r="E61">
        <f t="shared" si="3"/>
        <v>2</v>
      </c>
      <c r="F61">
        <f t="shared" si="4"/>
        <v>0</v>
      </c>
      <c r="G61">
        <f t="shared" si="5"/>
        <v>4</v>
      </c>
      <c r="H61">
        <f t="shared" si="6"/>
        <v>0</v>
      </c>
      <c r="I61">
        <f t="shared" si="1"/>
        <v>0</v>
      </c>
      <c r="J61" t="str">
        <f t="shared" si="7"/>
        <v/>
      </c>
      <c r="K61" t="str">
        <f t="shared" si="8"/>
        <v/>
      </c>
      <c r="L61">
        <v>0.67316290073797613</v>
      </c>
      <c r="M61">
        <f t="shared" si="9"/>
        <v>2</v>
      </c>
      <c r="N61">
        <f>IF(A61=3,8,0)+SUMIFS($I$13:I60,$K$13:K60,A61)</f>
        <v>0</v>
      </c>
      <c r="O61">
        <f t="shared" si="10"/>
        <v>2</v>
      </c>
      <c r="P61">
        <f t="shared" si="11"/>
        <v>0</v>
      </c>
      <c r="Q61">
        <f t="shared" si="12"/>
        <v>0</v>
      </c>
      <c r="R61" s="5">
        <f t="shared" si="13"/>
        <v>4</v>
      </c>
    </row>
    <row r="62" spans="1:18" ht="14.7" thickBot="1" x14ac:dyDescent="0.6">
      <c r="A62" s="6">
        <f t="shared" si="15"/>
        <v>50</v>
      </c>
      <c r="B62" s="7">
        <f t="shared" si="14"/>
        <v>2</v>
      </c>
      <c r="C62" s="7">
        <v>0.73734256370394413</v>
      </c>
      <c r="D62" s="7">
        <f t="shared" si="2"/>
        <v>3</v>
      </c>
      <c r="E62" s="7">
        <f t="shared" si="3"/>
        <v>0</v>
      </c>
      <c r="F62" s="7">
        <f t="shared" si="4"/>
        <v>1</v>
      </c>
      <c r="G62" s="7">
        <f t="shared" si="5"/>
        <v>0</v>
      </c>
      <c r="H62" s="7">
        <f t="shared" si="6"/>
        <v>1.5</v>
      </c>
      <c r="I62" s="7">
        <f t="shared" si="1"/>
        <v>12</v>
      </c>
      <c r="J62" s="7">
        <f t="shared" si="7"/>
        <v>1</v>
      </c>
      <c r="K62" s="7">
        <f t="shared" si="8"/>
        <v>51</v>
      </c>
      <c r="L62" s="7">
        <v>0.38241754241801384</v>
      </c>
      <c r="M62" s="7">
        <f t="shared" si="9"/>
        <v>0</v>
      </c>
      <c r="N62" s="7">
        <f>IF(A62=3,8,0)+SUMIFS($I$13:I61,$K$13:K61,A62)</f>
        <v>0</v>
      </c>
      <c r="O62" s="7">
        <f t="shared" si="10"/>
        <v>0</v>
      </c>
      <c r="P62" s="7">
        <f t="shared" si="11"/>
        <v>600</v>
      </c>
      <c r="Q62" s="7">
        <f t="shared" si="12"/>
        <v>10</v>
      </c>
      <c r="R62" s="8">
        <f t="shared" si="13"/>
        <v>611.5</v>
      </c>
    </row>
  </sheetData>
  <dataValidations count="1">
    <dataValidation type="list" allowBlank="1" showInputMessage="1" showErrorMessage="1" sqref="S4" xr:uid="{523546D5-3166-476C-A867-9BA5C59836DC}">
      <formula1>$L$4:$L$5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B &amp; D</vt:lpstr>
      <vt:lpstr>Sheet A &amp;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Chukwudi</dc:creator>
  <cp:lastModifiedBy>Michael Chukwudi</cp:lastModifiedBy>
  <dcterms:created xsi:type="dcterms:W3CDTF">2026-03-03T18:45:13Z</dcterms:created>
  <dcterms:modified xsi:type="dcterms:W3CDTF">2026-04-28T14:58:40Z</dcterms:modified>
</cp:coreProperties>
</file>